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\Desktop\이응준 db\"/>
    </mc:Choice>
  </mc:AlternateContent>
  <bookViews>
    <workbookView xWindow="28815" yWindow="-765" windowWidth="28770" windowHeight="15540" tabRatio="783"/>
  </bookViews>
  <sheets>
    <sheet name="현물가1.5" sheetId="40" r:id="rId1"/>
    <sheet name="견적서" sheetId="49" r:id="rId2"/>
    <sheet name="작업용" sheetId="50" r:id="rId3"/>
    <sheet name="견적서 작업용" sheetId="51" r:id="rId4"/>
    <sheet name="123213123" sheetId="54" r:id="rId5"/>
    <sheet name="Sheet3" sheetId="53" r:id="rId6"/>
  </sheets>
  <definedNames>
    <definedName name="_xlnm.Print_Area" localSheetId="1">견적서!$A$1:$H$26</definedName>
    <definedName name="_xlnm.Print_Area" localSheetId="3">'견적서 작업용'!$A$1:$H$26</definedName>
    <definedName name="_xlnm.Print_Area" localSheetId="2">작업용!$A$1:$V$25</definedName>
    <definedName name="_xlnm.Print_Area" localSheetId="0">현물가1.5!$A$1:$W$25</definedName>
  </definedNames>
  <calcPr calcId="162913"/>
</workbook>
</file>

<file path=xl/calcChain.xml><?xml version="1.0" encoding="utf-8"?>
<calcChain xmlns="http://schemas.openxmlformats.org/spreadsheetml/2006/main">
  <c r="W4" i="40" l="1"/>
  <c r="O4" i="40" l="1"/>
  <c r="S4" i="40"/>
  <c r="N4" i="40"/>
  <c r="Z12" i="40" l="1"/>
  <c r="W10" i="40" l="1"/>
  <c r="W5" i="40" l="1"/>
  <c r="W6" i="40" l="1"/>
  <c r="L27" i="54" l="1"/>
  <c r="L28" i="54" s="1"/>
  <c r="G21" i="54"/>
  <c r="G25" i="54"/>
  <c r="G16" i="54"/>
  <c r="G12" i="54"/>
  <c r="G10" i="54"/>
  <c r="G9" i="54"/>
  <c r="G8" i="54"/>
  <c r="G7" i="54"/>
  <c r="G6" i="54"/>
  <c r="G5" i="54"/>
  <c r="G4" i="54"/>
  <c r="G17" i="54" l="1"/>
  <c r="D26" i="54" s="1"/>
  <c r="G18" i="51"/>
  <c r="D27" i="54" l="1"/>
  <c r="D28" i="54"/>
  <c r="Y58" i="53"/>
  <c r="Y49" i="53" l="1"/>
  <c r="Y37" i="53"/>
  <c r="Y36" i="53"/>
  <c r="Y35" i="53"/>
  <c r="Y32" i="53"/>
  <c r="Y31" i="53"/>
  <c r="Y28" i="53"/>
  <c r="Y27" i="53"/>
  <c r="Y24" i="53"/>
  <c r="Y18" i="53"/>
  <c r="Y11" i="53"/>
  <c r="Y40" i="53" l="1"/>
  <c r="Y34" i="53"/>
  <c r="R60" i="53" s="1"/>
  <c r="R61" i="53" s="1"/>
  <c r="R59" i="53" l="1"/>
  <c r="J23" i="51" l="1"/>
  <c r="K23" i="51" s="1"/>
  <c r="J17" i="51"/>
  <c r="L17" i="51" s="1"/>
  <c r="M17" i="51" s="1"/>
  <c r="J16" i="51"/>
  <c r="L16" i="51" s="1"/>
  <c r="N16" i="51" s="1"/>
  <c r="O16" i="51" s="1"/>
  <c r="P16" i="51" s="1"/>
  <c r="H9" i="51"/>
  <c r="A1" i="50" l="1"/>
  <c r="Q243" i="50"/>
  <c r="M243" i="50"/>
  <c r="Q242" i="50"/>
  <c r="M242" i="50"/>
  <c r="Q241" i="50"/>
  <c r="M241" i="50"/>
  <c r="Q240" i="50"/>
  <c r="M240" i="50"/>
  <c r="Q239" i="50"/>
  <c r="M239" i="50"/>
  <c r="Q238" i="50"/>
  <c r="M238" i="50"/>
  <c r="Q237" i="50"/>
  <c r="M237" i="50"/>
  <c r="Q236" i="50"/>
  <c r="M236" i="50"/>
  <c r="Q235" i="50"/>
  <c r="M235" i="50"/>
  <c r="Q234" i="50"/>
  <c r="M234" i="50"/>
  <c r="Q233" i="50"/>
  <c r="M233" i="50"/>
  <c r="Q232" i="50"/>
  <c r="M232" i="50"/>
  <c r="Q231" i="50"/>
  <c r="M231" i="50"/>
  <c r="Q230" i="50"/>
  <c r="M230" i="50"/>
  <c r="Q229" i="50"/>
  <c r="M229" i="50"/>
  <c r="Q228" i="50"/>
  <c r="M228" i="50"/>
  <c r="Q227" i="50"/>
  <c r="M227" i="50"/>
  <c r="Q226" i="50"/>
  <c r="M226" i="50"/>
  <c r="Q225" i="50"/>
  <c r="M225" i="50"/>
  <c r="Q224" i="50"/>
  <c r="M224" i="50"/>
  <c r="Q223" i="50"/>
  <c r="M223" i="50"/>
  <c r="Q222" i="50"/>
  <c r="M222" i="50"/>
  <c r="Q221" i="50"/>
  <c r="M221" i="50"/>
  <c r="Q220" i="50"/>
  <c r="M220" i="50"/>
  <c r="Q219" i="50"/>
  <c r="M219" i="50"/>
  <c r="Q218" i="50"/>
  <c r="M218" i="50"/>
  <c r="Q217" i="50"/>
  <c r="M217" i="50"/>
  <c r="Q216" i="50"/>
  <c r="M216" i="50"/>
  <c r="Q215" i="50"/>
  <c r="M215" i="50"/>
  <c r="Q214" i="50"/>
  <c r="M214" i="50"/>
  <c r="Q213" i="50"/>
  <c r="M213" i="50"/>
  <c r="Q212" i="50"/>
  <c r="M212" i="50"/>
  <c r="Q211" i="50"/>
  <c r="M211" i="50"/>
  <c r="Q210" i="50"/>
  <c r="M210" i="50"/>
  <c r="Q209" i="50"/>
  <c r="M209" i="50"/>
  <c r="Q208" i="50"/>
  <c r="M208" i="50"/>
  <c r="Q207" i="50"/>
  <c r="M207" i="50"/>
  <c r="Q206" i="50"/>
  <c r="M206" i="50"/>
  <c r="Q205" i="50"/>
  <c r="M205" i="50"/>
  <c r="Q204" i="50"/>
  <c r="M204" i="50"/>
  <c r="Q203" i="50"/>
  <c r="M203" i="50"/>
  <c r="Q202" i="50"/>
  <c r="M202" i="50"/>
  <c r="Q201" i="50"/>
  <c r="M201" i="50"/>
  <c r="Q200" i="50"/>
  <c r="M200" i="50"/>
  <c r="Q199" i="50"/>
  <c r="M199" i="50"/>
  <c r="Q198" i="50"/>
  <c r="M198" i="50"/>
  <c r="Q197" i="50"/>
  <c r="M197" i="50"/>
  <c r="Q196" i="50"/>
  <c r="M196" i="50"/>
  <c r="Q195" i="50"/>
  <c r="M195" i="50"/>
  <c r="Q194" i="50"/>
  <c r="M194" i="50"/>
  <c r="Q193" i="50"/>
  <c r="M193" i="50"/>
  <c r="Q192" i="50"/>
  <c r="M192" i="50"/>
  <c r="Q191" i="50"/>
  <c r="M191" i="50"/>
  <c r="Q190" i="50"/>
  <c r="M190" i="50"/>
  <c r="Q189" i="50"/>
  <c r="M189" i="50"/>
  <c r="Q188" i="50"/>
  <c r="M188" i="50"/>
  <c r="Q187" i="50"/>
  <c r="M187" i="50"/>
  <c r="Q186" i="50"/>
  <c r="M186" i="50"/>
  <c r="Q185" i="50"/>
  <c r="M185" i="50"/>
  <c r="Q184" i="50"/>
  <c r="M184" i="50"/>
  <c r="M183" i="50"/>
  <c r="M182" i="50"/>
  <c r="M181" i="50"/>
  <c r="M180" i="50"/>
  <c r="M179" i="50"/>
  <c r="M178" i="50"/>
  <c r="M177" i="50"/>
  <c r="M176" i="50"/>
  <c r="M175" i="50"/>
  <c r="M174" i="50"/>
  <c r="M173" i="50"/>
  <c r="M172" i="50"/>
  <c r="M171" i="50"/>
  <c r="M170" i="50"/>
  <c r="M169" i="50"/>
  <c r="M168" i="50"/>
  <c r="M167" i="50"/>
  <c r="M166" i="50"/>
  <c r="M165" i="50"/>
  <c r="M164" i="50"/>
  <c r="M163" i="50"/>
  <c r="M162" i="50"/>
  <c r="M161" i="50"/>
  <c r="M160" i="50"/>
  <c r="M159" i="50"/>
  <c r="M158" i="50"/>
  <c r="M157" i="50"/>
  <c r="M156" i="50"/>
  <c r="M155" i="50"/>
  <c r="M154" i="50"/>
  <c r="M153" i="50"/>
  <c r="M152" i="50"/>
  <c r="M151" i="50"/>
  <c r="M150" i="50"/>
  <c r="M149" i="50"/>
  <c r="M148" i="50"/>
  <c r="M147" i="50"/>
  <c r="M146" i="50"/>
  <c r="M145" i="50"/>
  <c r="M144" i="50"/>
  <c r="M143" i="50"/>
  <c r="M142" i="50"/>
  <c r="M141" i="50"/>
  <c r="M140" i="50"/>
  <c r="M139" i="50"/>
  <c r="M138" i="50"/>
  <c r="M137" i="50"/>
  <c r="M136" i="50"/>
  <c r="M135" i="50"/>
  <c r="M134" i="50"/>
  <c r="M133" i="50"/>
  <c r="M132" i="50"/>
  <c r="M131" i="50"/>
  <c r="M130" i="50"/>
  <c r="M129" i="50"/>
  <c r="M128" i="50"/>
  <c r="M127" i="50"/>
  <c r="M126" i="50"/>
  <c r="M125" i="50"/>
  <c r="M124" i="50"/>
  <c r="M123" i="50"/>
  <c r="M122" i="50"/>
  <c r="M121" i="50"/>
  <c r="M120" i="50"/>
  <c r="M119" i="50"/>
  <c r="M118" i="50"/>
  <c r="M117" i="50"/>
  <c r="M116" i="50"/>
  <c r="M115" i="50"/>
  <c r="M114" i="50"/>
  <c r="M113" i="50"/>
  <c r="M112" i="50"/>
  <c r="M111" i="50"/>
  <c r="M110" i="50"/>
  <c r="M109" i="50"/>
  <c r="M108" i="50"/>
  <c r="M107" i="50"/>
  <c r="M106" i="50"/>
  <c r="M105" i="50"/>
  <c r="M104" i="50"/>
  <c r="M103" i="50"/>
  <c r="M102" i="50"/>
  <c r="M101" i="50"/>
  <c r="M100" i="50"/>
  <c r="M99" i="50"/>
  <c r="M98" i="50"/>
  <c r="M97" i="50"/>
  <c r="M96" i="50"/>
  <c r="M95" i="50"/>
  <c r="M94" i="50"/>
  <c r="M93" i="50"/>
  <c r="M92" i="50"/>
  <c r="M91" i="50"/>
  <c r="M90" i="50"/>
  <c r="M89" i="50"/>
  <c r="M88" i="50"/>
  <c r="M87" i="50"/>
  <c r="M86" i="50"/>
  <c r="M85" i="50"/>
  <c r="M84" i="50"/>
  <c r="M83" i="50"/>
  <c r="M82" i="50"/>
  <c r="M81" i="50"/>
  <c r="M80" i="50"/>
  <c r="M79" i="50"/>
  <c r="M78" i="50"/>
  <c r="M77" i="50"/>
  <c r="M76" i="50"/>
  <c r="M75" i="50"/>
  <c r="M74" i="50"/>
  <c r="M73" i="50"/>
  <c r="M72" i="50"/>
  <c r="M71" i="50"/>
  <c r="M70" i="50"/>
  <c r="M69" i="50"/>
  <c r="M68" i="50"/>
  <c r="M67" i="50"/>
  <c r="M66" i="50"/>
  <c r="M65" i="50"/>
  <c r="M64" i="50"/>
  <c r="N63" i="50"/>
  <c r="M63" i="50"/>
  <c r="N62" i="50"/>
  <c r="M62" i="50"/>
  <c r="N61" i="50"/>
  <c r="M61" i="50"/>
  <c r="N60" i="50"/>
  <c r="M60" i="50"/>
  <c r="N59" i="50"/>
  <c r="M59" i="50"/>
  <c r="N58" i="50"/>
  <c r="M58" i="50"/>
  <c r="N57" i="50"/>
  <c r="M57" i="50"/>
  <c r="N56" i="50"/>
  <c r="M56" i="50"/>
  <c r="N55" i="50"/>
  <c r="M55" i="50"/>
  <c r="N54" i="50"/>
  <c r="M54" i="50"/>
  <c r="N53" i="50"/>
  <c r="M53" i="50"/>
  <c r="N52" i="50"/>
  <c r="M52" i="50"/>
  <c r="N51" i="50"/>
  <c r="M51" i="50"/>
  <c r="N50" i="50"/>
  <c r="M50" i="50"/>
  <c r="N49" i="50"/>
  <c r="M49" i="50"/>
  <c r="N48" i="50"/>
  <c r="M48" i="50"/>
  <c r="N47" i="50"/>
  <c r="M47" i="50"/>
  <c r="N46" i="50"/>
  <c r="M46" i="50"/>
  <c r="N45" i="50"/>
  <c r="M45" i="50"/>
  <c r="N44" i="50"/>
  <c r="M44" i="50"/>
  <c r="N43" i="50"/>
  <c r="M43" i="50"/>
  <c r="N42" i="50"/>
  <c r="M42" i="50"/>
  <c r="N41" i="50"/>
  <c r="M41" i="50"/>
  <c r="N40" i="50"/>
  <c r="M40" i="50"/>
  <c r="N39" i="50"/>
  <c r="M39" i="50"/>
  <c r="N38" i="50"/>
  <c r="M38" i="50"/>
  <c r="N37" i="50"/>
  <c r="M37" i="50"/>
  <c r="N36" i="50"/>
  <c r="M36" i="50"/>
  <c r="N35" i="50"/>
  <c r="M35" i="50"/>
  <c r="N34" i="50"/>
  <c r="M34" i="50"/>
  <c r="N33" i="50"/>
  <c r="M33" i="50"/>
  <c r="N32" i="50"/>
  <c r="M32" i="50"/>
  <c r="N31" i="50"/>
  <c r="M31" i="50"/>
  <c r="N30" i="50"/>
  <c r="M30" i="50"/>
  <c r="N29" i="50"/>
  <c r="M29" i="50"/>
  <c r="N28" i="50"/>
  <c r="M28" i="50"/>
  <c r="N27" i="50"/>
  <c r="M27" i="50"/>
  <c r="N26" i="50"/>
  <c r="M26" i="50"/>
  <c r="N25" i="50"/>
  <c r="M25" i="50"/>
  <c r="N24" i="50"/>
  <c r="M24" i="50"/>
  <c r="N23" i="50"/>
  <c r="M23" i="50"/>
  <c r="N22" i="50"/>
  <c r="M22" i="50"/>
  <c r="N21" i="50"/>
  <c r="M21" i="50"/>
  <c r="N20" i="50"/>
  <c r="M20" i="50"/>
  <c r="N19" i="50"/>
  <c r="M19" i="50"/>
  <c r="N18" i="50"/>
  <c r="M18" i="50"/>
  <c r="N17" i="50"/>
  <c r="M17" i="50"/>
  <c r="N16" i="50"/>
  <c r="M16" i="50"/>
  <c r="N15" i="50"/>
  <c r="M15" i="50"/>
  <c r="V14" i="50"/>
  <c r="Y11" i="50" s="1"/>
  <c r="N14" i="50"/>
  <c r="M14" i="50"/>
  <c r="AB13" i="50"/>
  <c r="Y9" i="50" s="1"/>
  <c r="V10" i="50" s="1"/>
  <c r="V11" i="50" s="1"/>
  <c r="N13" i="50"/>
  <c r="M13" i="50"/>
  <c r="Y12" i="50"/>
  <c r="R204" i="50" s="1"/>
  <c r="N12" i="50"/>
  <c r="M12" i="50"/>
  <c r="N11" i="50"/>
  <c r="M11" i="50"/>
  <c r="N10" i="50"/>
  <c r="M10" i="50"/>
  <c r="N9" i="50"/>
  <c r="M9" i="50"/>
  <c r="AD8" i="50"/>
  <c r="AC8" i="50"/>
  <c r="AB8" i="50"/>
  <c r="AA8" i="50"/>
  <c r="V8" i="50"/>
  <c r="N8" i="50"/>
  <c r="M8" i="50"/>
  <c r="V7" i="50"/>
  <c r="N7" i="50"/>
  <c r="M7" i="50"/>
  <c r="V6" i="50"/>
  <c r="N6" i="50"/>
  <c r="M6" i="50"/>
  <c r="V5" i="50"/>
  <c r="N5" i="50"/>
  <c r="M5" i="50"/>
  <c r="V4" i="50"/>
  <c r="R4" i="50"/>
  <c r="M4" i="50"/>
  <c r="B4" i="50" l="1"/>
  <c r="R22" i="50"/>
  <c r="R19" i="50"/>
  <c r="R13" i="50"/>
  <c r="R8" i="50"/>
  <c r="R9" i="50"/>
  <c r="R197" i="50"/>
  <c r="R16" i="50"/>
  <c r="R7" i="50"/>
  <c r="R5" i="50"/>
  <c r="R20" i="50"/>
  <c r="N192" i="50"/>
  <c r="R221" i="50"/>
  <c r="N207" i="50"/>
  <c r="R15" i="50"/>
  <c r="N215" i="50"/>
  <c r="B5" i="50"/>
  <c r="D5" i="50" s="1"/>
  <c r="D4" i="50"/>
  <c r="S4" i="50"/>
  <c r="Y14" i="50"/>
  <c r="R178" i="50" s="1"/>
  <c r="O5" i="50"/>
  <c r="V12" i="50"/>
  <c r="R242" i="50"/>
  <c r="N241" i="50"/>
  <c r="R238" i="50"/>
  <c r="N237" i="50"/>
  <c r="R234" i="50"/>
  <c r="N233" i="50"/>
  <c r="R230" i="50"/>
  <c r="N229" i="50"/>
  <c r="R226" i="50"/>
  <c r="N225" i="50"/>
  <c r="R222" i="50"/>
  <c r="N221" i="50"/>
  <c r="R218" i="50"/>
  <c r="N217" i="50"/>
  <c r="R214" i="50"/>
  <c r="N213" i="50"/>
  <c r="R210" i="50"/>
  <c r="N209" i="50"/>
  <c r="R206" i="50"/>
  <c r="N205" i="50"/>
  <c r="R202" i="50"/>
  <c r="N201" i="50"/>
  <c r="R198" i="50"/>
  <c r="N197" i="50"/>
  <c r="R194" i="50"/>
  <c r="N193" i="50"/>
  <c r="R190" i="50"/>
  <c r="N189" i="50"/>
  <c r="R186" i="50"/>
  <c r="N185" i="50"/>
  <c r="R243" i="50"/>
  <c r="N242" i="50"/>
  <c r="R239" i="50"/>
  <c r="N238" i="50"/>
  <c r="R235" i="50"/>
  <c r="N234" i="50"/>
  <c r="R231" i="50"/>
  <c r="N230" i="50"/>
  <c r="R227" i="50"/>
  <c r="N226" i="50"/>
  <c r="R223" i="50"/>
  <c r="N222" i="50"/>
  <c r="R219" i="50"/>
  <c r="N218" i="50"/>
  <c r="R215" i="50"/>
  <c r="N214" i="50"/>
  <c r="R211" i="50"/>
  <c r="N210" i="50"/>
  <c r="R207" i="50"/>
  <c r="N206" i="50"/>
  <c r="R203" i="50"/>
  <c r="N202" i="50"/>
  <c r="R199" i="50"/>
  <c r="N198" i="50"/>
  <c r="R195" i="50"/>
  <c r="N194" i="50"/>
  <c r="R191" i="50"/>
  <c r="N190" i="50"/>
  <c r="R187" i="50"/>
  <c r="N186" i="50"/>
  <c r="N243" i="50"/>
  <c r="R241" i="50"/>
  <c r="N236" i="50"/>
  <c r="R232" i="50"/>
  <c r="N227" i="50"/>
  <c r="R225" i="50"/>
  <c r="N220" i="50"/>
  <c r="R216" i="50"/>
  <c r="N211" i="50"/>
  <c r="R209" i="50"/>
  <c r="N204" i="50"/>
  <c r="R200" i="50"/>
  <c r="N195" i="50"/>
  <c r="R193" i="50"/>
  <c r="N188" i="50"/>
  <c r="R184" i="50"/>
  <c r="R240" i="50"/>
  <c r="N235" i="50"/>
  <c r="R233" i="50"/>
  <c r="N228" i="50"/>
  <c r="R224" i="50"/>
  <c r="N219" i="50"/>
  <c r="R217" i="50"/>
  <c r="N212" i="50"/>
  <c r="R208" i="50"/>
  <c r="N203" i="50"/>
  <c r="R201" i="50"/>
  <c r="N196" i="50"/>
  <c r="R192" i="50"/>
  <c r="N187" i="50"/>
  <c r="R185" i="50"/>
  <c r="N231" i="50"/>
  <c r="R228" i="50"/>
  <c r="N199" i="50"/>
  <c r="R196" i="50"/>
  <c r="R63" i="50"/>
  <c r="R62" i="50"/>
  <c r="R61" i="50"/>
  <c r="R60" i="50"/>
  <c r="R59" i="50"/>
  <c r="R58" i="50"/>
  <c r="R57" i="50"/>
  <c r="R56" i="50"/>
  <c r="R55" i="50"/>
  <c r="R54" i="50"/>
  <c r="R53" i="50"/>
  <c r="N216" i="50"/>
  <c r="R213" i="50"/>
  <c r="N184" i="50"/>
  <c r="N223" i="50"/>
  <c r="N191" i="50"/>
  <c r="R237" i="50"/>
  <c r="R220" i="50"/>
  <c r="N200" i="50"/>
  <c r="R21" i="50"/>
  <c r="R18" i="50"/>
  <c r="R10" i="50"/>
  <c r="R6" i="50"/>
  <c r="N240" i="50"/>
  <c r="R205" i="50"/>
  <c r="R188" i="50"/>
  <c r="R12" i="50"/>
  <c r="N208" i="50"/>
  <c r="R52" i="50"/>
  <c r="R51" i="50"/>
  <c r="R50" i="50"/>
  <c r="R49" i="50"/>
  <c r="R48" i="50"/>
  <c r="R47" i="50"/>
  <c r="R46" i="50"/>
  <c r="R45" i="50"/>
  <c r="R44" i="50"/>
  <c r="R43" i="50"/>
  <c r="R42" i="50"/>
  <c r="R41" i="50"/>
  <c r="R40" i="50"/>
  <c r="R39" i="50"/>
  <c r="R38" i="50"/>
  <c r="R37" i="50"/>
  <c r="R36" i="50"/>
  <c r="R35" i="50"/>
  <c r="R34" i="50"/>
  <c r="R33" i="50"/>
  <c r="R32" i="50"/>
  <c r="R31" i="50"/>
  <c r="R30" i="50"/>
  <c r="R29" i="50"/>
  <c r="R28" i="50"/>
  <c r="R27" i="50"/>
  <c r="R26" i="50"/>
  <c r="R25" i="50"/>
  <c r="R24" i="50"/>
  <c r="R23" i="50"/>
  <c r="R17" i="50"/>
  <c r="R14" i="50"/>
  <c r="R189" i="50"/>
  <c r="R11" i="50"/>
  <c r="R212" i="50"/>
  <c r="N232" i="50"/>
  <c r="N239" i="50"/>
  <c r="R229" i="50"/>
  <c r="C4" i="50"/>
  <c r="N224" i="50"/>
  <c r="R236" i="50"/>
  <c r="C5" i="50" l="1"/>
  <c r="R164" i="50"/>
  <c r="B6" i="50"/>
  <c r="R67" i="50"/>
  <c r="R119" i="50"/>
  <c r="R102" i="50"/>
  <c r="R82" i="50"/>
  <c r="R132" i="50"/>
  <c r="R168" i="50"/>
  <c r="R97" i="50"/>
  <c r="R75" i="50"/>
  <c r="R103" i="50"/>
  <c r="R80" i="50"/>
  <c r="R99" i="50"/>
  <c r="R105" i="50"/>
  <c r="R169" i="50"/>
  <c r="R182" i="50"/>
  <c r="R98" i="50"/>
  <c r="R160" i="50"/>
  <c r="R81" i="50"/>
  <c r="R114" i="50"/>
  <c r="R176" i="50"/>
  <c r="R161" i="50"/>
  <c r="R140" i="50"/>
  <c r="R64" i="50"/>
  <c r="R83" i="50"/>
  <c r="R121" i="50"/>
  <c r="R147" i="50"/>
  <c r="R181" i="50"/>
  <c r="R65" i="50"/>
  <c r="R91" i="50"/>
  <c r="R122" i="50"/>
  <c r="R148" i="50"/>
  <c r="R146" i="50"/>
  <c r="R66" i="50"/>
  <c r="R96" i="50"/>
  <c r="R101" i="50"/>
  <c r="R123" i="50"/>
  <c r="R149" i="50"/>
  <c r="R88" i="50"/>
  <c r="R129" i="50"/>
  <c r="R155" i="50"/>
  <c r="R130" i="50"/>
  <c r="R179" i="50"/>
  <c r="R138" i="50"/>
  <c r="R156" i="50"/>
  <c r="R173" i="50"/>
  <c r="R72" i="50"/>
  <c r="R110" i="50"/>
  <c r="R175" i="50"/>
  <c r="R73" i="50"/>
  <c r="R89" i="50"/>
  <c r="R111" i="50"/>
  <c r="R74" i="50"/>
  <c r="R90" i="50"/>
  <c r="R113" i="50"/>
  <c r="R131" i="50"/>
  <c r="R183" i="50"/>
  <c r="R139" i="50"/>
  <c r="R157" i="50"/>
  <c r="R69" i="50"/>
  <c r="R85" i="50"/>
  <c r="R116" i="50"/>
  <c r="R134" i="50"/>
  <c r="R159" i="50"/>
  <c r="R143" i="50"/>
  <c r="R172" i="50"/>
  <c r="R78" i="50"/>
  <c r="R94" i="50"/>
  <c r="R108" i="50"/>
  <c r="R117" i="50"/>
  <c r="R126" i="50"/>
  <c r="R135" i="50"/>
  <c r="R167" i="50"/>
  <c r="R144" i="50"/>
  <c r="R153" i="50"/>
  <c r="R174" i="50"/>
  <c r="R162" i="50"/>
  <c r="R68" i="50"/>
  <c r="R76" i="50"/>
  <c r="R84" i="50"/>
  <c r="R92" i="50"/>
  <c r="R106" i="50"/>
  <c r="R115" i="50"/>
  <c r="R124" i="50"/>
  <c r="R133" i="50"/>
  <c r="R177" i="50"/>
  <c r="R141" i="50"/>
  <c r="R151" i="50"/>
  <c r="R166" i="50"/>
  <c r="R77" i="50"/>
  <c r="R93" i="50"/>
  <c r="R107" i="50"/>
  <c r="R125" i="50"/>
  <c r="R152" i="50"/>
  <c r="R170" i="50"/>
  <c r="R70" i="50"/>
  <c r="R86" i="50"/>
  <c r="R71" i="50"/>
  <c r="R79" i="50"/>
  <c r="R87" i="50"/>
  <c r="R95" i="50"/>
  <c r="R109" i="50"/>
  <c r="R118" i="50"/>
  <c r="R127" i="50"/>
  <c r="R137" i="50"/>
  <c r="R171" i="50"/>
  <c r="R145" i="50"/>
  <c r="R154" i="50"/>
  <c r="R180" i="50"/>
  <c r="R165" i="50"/>
  <c r="S5" i="50"/>
  <c r="P4" i="50"/>
  <c r="T4" i="50" s="1"/>
  <c r="R100" i="50"/>
  <c r="R104" i="50"/>
  <c r="R112" i="50"/>
  <c r="R120" i="50"/>
  <c r="R128" i="50"/>
  <c r="R136" i="50"/>
  <c r="R163" i="50"/>
  <c r="R142" i="50"/>
  <c r="R150" i="50"/>
  <c r="R158" i="50"/>
  <c r="F5" i="50"/>
  <c r="G5" i="50" s="1"/>
  <c r="H5" i="50" s="1"/>
  <c r="E5" i="50"/>
  <c r="E4" i="50"/>
  <c r="F4" i="50"/>
  <c r="G4" i="50" s="1"/>
  <c r="D6" i="50"/>
  <c r="C6" i="50"/>
  <c r="B7" i="50"/>
  <c r="J23" i="49"/>
  <c r="K23" i="49" s="1"/>
  <c r="B16" i="49" s="1"/>
  <c r="P5" i="50" l="1"/>
  <c r="O6" i="50"/>
  <c r="S6" i="50"/>
  <c r="I5" i="50"/>
  <c r="I4" i="50"/>
  <c r="H4" i="50"/>
  <c r="B8" i="50"/>
  <c r="D7" i="50"/>
  <c r="C7" i="50"/>
  <c r="E6" i="50"/>
  <c r="F6" i="50"/>
  <c r="G6" i="50" s="1"/>
  <c r="H6" i="50" s="1"/>
  <c r="G16" i="49"/>
  <c r="J17" i="49"/>
  <c r="L17" i="49" s="1"/>
  <c r="M17" i="49" s="1"/>
  <c r="E17" i="49" s="1"/>
  <c r="J16" i="49"/>
  <c r="I6" i="50" l="1"/>
  <c r="O7" i="50"/>
  <c r="P6" i="50"/>
  <c r="S7" i="50"/>
  <c r="Q5" i="50"/>
  <c r="T5" i="50"/>
  <c r="F7" i="50"/>
  <c r="G7" i="50" s="1"/>
  <c r="E7" i="50"/>
  <c r="C8" i="50"/>
  <c r="B9" i="50"/>
  <c r="D8" i="50"/>
  <c r="V19" i="50"/>
  <c r="V20" i="50"/>
  <c r="L16" i="49"/>
  <c r="W14" i="40"/>
  <c r="G19" i="49"/>
  <c r="H9" i="49"/>
  <c r="P4" i="40" l="1"/>
  <c r="T4" i="40"/>
  <c r="Q4" i="40" s="1"/>
  <c r="Z14" i="40"/>
  <c r="Z11" i="40"/>
  <c r="S8" i="50"/>
  <c r="P7" i="50"/>
  <c r="O8" i="50"/>
  <c r="T6" i="50"/>
  <c r="Q6" i="50"/>
  <c r="H7" i="50"/>
  <c r="I7" i="50"/>
  <c r="F8" i="50"/>
  <c r="G8" i="50" s="1"/>
  <c r="E8" i="50"/>
  <c r="D9" i="50"/>
  <c r="C9" i="50"/>
  <c r="B10" i="50"/>
  <c r="N16" i="49"/>
  <c r="O16" i="49" s="1"/>
  <c r="P16" i="49" s="1"/>
  <c r="E16" i="49" s="1"/>
  <c r="W11" i="40"/>
  <c r="U4" i="40" l="1"/>
  <c r="R4" i="40"/>
  <c r="Q7" i="50"/>
  <c r="T7" i="50"/>
  <c r="P8" i="50"/>
  <c r="S9" i="50"/>
  <c r="O9" i="50"/>
  <c r="H8" i="50"/>
  <c r="I8" i="50"/>
  <c r="F9" i="50"/>
  <c r="G9" i="50" s="1"/>
  <c r="E9" i="50"/>
  <c r="D10" i="50"/>
  <c r="C10" i="50"/>
  <c r="B11" i="50"/>
  <c r="W8" i="40"/>
  <c r="P9" i="50" l="1"/>
  <c r="O10" i="50"/>
  <c r="S10" i="50"/>
  <c r="T8" i="50"/>
  <c r="Q8" i="50"/>
  <c r="H9" i="50"/>
  <c r="B12" i="50"/>
  <c r="C11" i="50"/>
  <c r="D11" i="50"/>
  <c r="I9" i="50"/>
  <c r="F10" i="50"/>
  <c r="G10" i="50" s="1"/>
  <c r="H10" i="50" s="1"/>
  <c r="E10" i="50"/>
  <c r="AE8" i="40"/>
  <c r="AD8" i="40"/>
  <c r="AC8" i="40"/>
  <c r="AB8" i="40"/>
  <c r="O11" i="50" l="1"/>
  <c r="P10" i="50"/>
  <c r="S11" i="50"/>
  <c r="T9" i="50"/>
  <c r="Q9" i="50"/>
  <c r="I10" i="50"/>
  <c r="F11" i="50"/>
  <c r="G11" i="50" s="1"/>
  <c r="E11" i="50"/>
  <c r="D12" i="50"/>
  <c r="C12" i="50"/>
  <c r="B13" i="50"/>
  <c r="N243" i="40"/>
  <c r="N242" i="40"/>
  <c r="N241" i="40"/>
  <c r="N240" i="40"/>
  <c r="N239" i="40"/>
  <c r="N238" i="40"/>
  <c r="N237" i="40"/>
  <c r="N236" i="40"/>
  <c r="N235" i="40"/>
  <c r="N234" i="40"/>
  <c r="N233" i="40"/>
  <c r="N232" i="40"/>
  <c r="N231" i="40"/>
  <c r="N230" i="40"/>
  <c r="N229" i="40"/>
  <c r="N228" i="40"/>
  <c r="N227" i="40"/>
  <c r="N226" i="40"/>
  <c r="N225" i="40"/>
  <c r="N224" i="40"/>
  <c r="N223" i="40"/>
  <c r="N222" i="40"/>
  <c r="N221" i="40"/>
  <c r="N220" i="40"/>
  <c r="N219" i="40"/>
  <c r="N218" i="40"/>
  <c r="N217" i="40"/>
  <c r="N216" i="40"/>
  <c r="N215" i="40"/>
  <c r="N214" i="40"/>
  <c r="N213" i="40"/>
  <c r="N212" i="40"/>
  <c r="N211" i="40"/>
  <c r="N210" i="40"/>
  <c r="N209" i="40"/>
  <c r="N208" i="40"/>
  <c r="N207" i="40"/>
  <c r="N206" i="40"/>
  <c r="N205" i="40"/>
  <c r="N204" i="40"/>
  <c r="N203" i="40"/>
  <c r="N202" i="40"/>
  <c r="N201" i="40"/>
  <c r="N200" i="40"/>
  <c r="N199" i="40"/>
  <c r="N198" i="40"/>
  <c r="N197" i="40"/>
  <c r="N196" i="40"/>
  <c r="N195" i="40"/>
  <c r="N194" i="40"/>
  <c r="N193" i="40"/>
  <c r="N192" i="40"/>
  <c r="N191" i="40"/>
  <c r="N190" i="40"/>
  <c r="N189" i="40"/>
  <c r="N188" i="40"/>
  <c r="N187" i="40"/>
  <c r="N186" i="40"/>
  <c r="N185" i="40"/>
  <c r="N184" i="40"/>
  <c r="N183" i="40"/>
  <c r="N182" i="40"/>
  <c r="N181" i="40"/>
  <c r="N180" i="40"/>
  <c r="N179" i="40"/>
  <c r="N178" i="40"/>
  <c r="N177" i="40"/>
  <c r="N176" i="40"/>
  <c r="N175" i="40"/>
  <c r="N174" i="40"/>
  <c r="N173" i="40"/>
  <c r="N172" i="40"/>
  <c r="N171" i="40"/>
  <c r="N170" i="40"/>
  <c r="N169" i="40"/>
  <c r="N168" i="40"/>
  <c r="N167" i="40"/>
  <c r="N166" i="40"/>
  <c r="N165" i="40"/>
  <c r="N164" i="40"/>
  <c r="N163" i="40"/>
  <c r="N162" i="40"/>
  <c r="N161" i="40"/>
  <c r="N160" i="40"/>
  <c r="N159" i="40"/>
  <c r="N158" i="40"/>
  <c r="N157" i="40"/>
  <c r="N156" i="40"/>
  <c r="N155" i="40"/>
  <c r="N154" i="40"/>
  <c r="N153" i="40"/>
  <c r="N152" i="40"/>
  <c r="N151" i="40"/>
  <c r="N150" i="40"/>
  <c r="N149" i="40"/>
  <c r="N148" i="40"/>
  <c r="N147" i="40"/>
  <c r="N146" i="40"/>
  <c r="N145" i="40"/>
  <c r="N144" i="40"/>
  <c r="N143" i="40"/>
  <c r="N142" i="40"/>
  <c r="N141" i="40"/>
  <c r="N140" i="40"/>
  <c r="N139" i="40"/>
  <c r="N138" i="40"/>
  <c r="N137" i="40"/>
  <c r="N136" i="40"/>
  <c r="N135" i="40"/>
  <c r="N134" i="40"/>
  <c r="N133" i="40"/>
  <c r="N132" i="40"/>
  <c r="N131" i="40"/>
  <c r="N130" i="40"/>
  <c r="N129" i="40"/>
  <c r="N128" i="40"/>
  <c r="N127" i="40"/>
  <c r="N126" i="40"/>
  <c r="N125" i="40"/>
  <c r="N124" i="40"/>
  <c r="N123" i="40"/>
  <c r="N122" i="40"/>
  <c r="N121" i="40"/>
  <c r="N120" i="40"/>
  <c r="N119" i="40"/>
  <c r="N118" i="40"/>
  <c r="N117" i="40"/>
  <c r="N116" i="40"/>
  <c r="N115" i="40"/>
  <c r="N114" i="40"/>
  <c r="N113" i="40"/>
  <c r="N112" i="40"/>
  <c r="N111" i="40"/>
  <c r="N110" i="40"/>
  <c r="N109" i="40"/>
  <c r="N108" i="40"/>
  <c r="N107" i="40"/>
  <c r="N106" i="40"/>
  <c r="N105" i="40"/>
  <c r="N104" i="40"/>
  <c r="N103" i="40"/>
  <c r="N102" i="40"/>
  <c r="N101" i="40"/>
  <c r="N100" i="40"/>
  <c r="N99" i="40"/>
  <c r="N98" i="40"/>
  <c r="N97" i="40"/>
  <c r="N96" i="40"/>
  <c r="N95" i="40"/>
  <c r="N94" i="40"/>
  <c r="N93" i="40"/>
  <c r="N92" i="40"/>
  <c r="N91" i="40"/>
  <c r="N90" i="40"/>
  <c r="N89" i="40"/>
  <c r="N88" i="40"/>
  <c r="N87" i="40"/>
  <c r="N86" i="40"/>
  <c r="N85" i="40"/>
  <c r="N84" i="40"/>
  <c r="N83" i="40"/>
  <c r="N82" i="40"/>
  <c r="N81" i="40"/>
  <c r="N80" i="40"/>
  <c r="N79" i="40"/>
  <c r="N78" i="40"/>
  <c r="N77" i="40"/>
  <c r="N76" i="40"/>
  <c r="N75" i="40"/>
  <c r="N74" i="40"/>
  <c r="N73" i="40"/>
  <c r="N72" i="40"/>
  <c r="N71" i="40"/>
  <c r="N70" i="40"/>
  <c r="N69" i="40"/>
  <c r="N68" i="40"/>
  <c r="N67" i="40"/>
  <c r="N66" i="40"/>
  <c r="N65" i="40"/>
  <c r="N64" i="40"/>
  <c r="N63" i="40"/>
  <c r="N62" i="40"/>
  <c r="N61" i="40"/>
  <c r="N60" i="40"/>
  <c r="N59" i="40"/>
  <c r="N58" i="40"/>
  <c r="N57" i="40"/>
  <c r="N56" i="40"/>
  <c r="N55" i="40"/>
  <c r="N54" i="40"/>
  <c r="N53" i="40"/>
  <c r="N52" i="40"/>
  <c r="N51" i="40"/>
  <c r="N50" i="40"/>
  <c r="N49" i="40"/>
  <c r="N48" i="40"/>
  <c r="N47" i="40"/>
  <c r="N46" i="40"/>
  <c r="N45" i="40"/>
  <c r="N44" i="40"/>
  <c r="N43" i="40"/>
  <c r="N42" i="40"/>
  <c r="N41" i="40"/>
  <c r="N40" i="40"/>
  <c r="N39" i="40"/>
  <c r="N38" i="40"/>
  <c r="N37" i="40"/>
  <c r="N36" i="40"/>
  <c r="N35" i="40"/>
  <c r="N34" i="40"/>
  <c r="N33" i="40"/>
  <c r="N32" i="40"/>
  <c r="N31" i="40"/>
  <c r="N30" i="40"/>
  <c r="N29" i="40"/>
  <c r="N28" i="40"/>
  <c r="N27" i="40"/>
  <c r="N26" i="40"/>
  <c r="N25" i="40"/>
  <c r="N24" i="40"/>
  <c r="N23" i="40"/>
  <c r="N22" i="40"/>
  <c r="N21" i="40"/>
  <c r="N20" i="40"/>
  <c r="N19" i="40"/>
  <c r="N18" i="40"/>
  <c r="N17" i="40"/>
  <c r="N16" i="40"/>
  <c r="N15" i="40"/>
  <c r="N14" i="40"/>
  <c r="N13" i="40"/>
  <c r="N12" i="40"/>
  <c r="W12" i="40"/>
  <c r="N11" i="40"/>
  <c r="N10" i="40"/>
  <c r="N9" i="40"/>
  <c r="N8" i="40"/>
  <c r="N7" i="40"/>
  <c r="N6" i="40"/>
  <c r="P5" i="40"/>
  <c r="N5" i="40"/>
  <c r="T10" i="50" l="1"/>
  <c r="Q10" i="50"/>
  <c r="S12" i="50"/>
  <c r="P11" i="50"/>
  <c r="O12" i="50"/>
  <c r="H11" i="50"/>
  <c r="B14" i="50"/>
  <c r="D13" i="50"/>
  <c r="C13" i="50"/>
  <c r="I11" i="50"/>
  <c r="F12" i="50"/>
  <c r="G12" i="50" s="1"/>
  <c r="E12" i="50"/>
  <c r="S11" i="40"/>
  <c r="S5" i="40"/>
  <c r="S18" i="40"/>
  <c r="S12" i="40"/>
  <c r="S8" i="40"/>
  <c r="S9" i="40"/>
  <c r="S16" i="40"/>
  <c r="S6" i="40"/>
  <c r="S14" i="40"/>
  <c r="S23" i="40"/>
  <c r="S25" i="40"/>
  <c r="S27" i="40"/>
  <c r="S29" i="40"/>
  <c r="S31" i="40"/>
  <c r="S33" i="40"/>
  <c r="S35" i="40"/>
  <c r="S37" i="40"/>
  <c r="S39" i="40"/>
  <c r="S41" i="40"/>
  <c r="S243" i="40"/>
  <c r="S242" i="40"/>
  <c r="S241" i="40"/>
  <c r="S240" i="40"/>
  <c r="S239" i="40"/>
  <c r="S238" i="40"/>
  <c r="S237" i="40"/>
  <c r="S236" i="40"/>
  <c r="S235" i="40"/>
  <c r="S234" i="40"/>
  <c r="S233" i="40"/>
  <c r="S232" i="40"/>
  <c r="S231" i="40"/>
  <c r="S230" i="40"/>
  <c r="S229" i="40"/>
  <c r="S228" i="40"/>
  <c r="S227" i="40"/>
  <c r="S226" i="40"/>
  <c r="S225" i="40"/>
  <c r="S224" i="40"/>
  <c r="S223" i="40"/>
  <c r="S222" i="40"/>
  <c r="S221" i="40"/>
  <c r="S220" i="40"/>
  <c r="S219" i="40"/>
  <c r="S218" i="40"/>
  <c r="S217" i="40"/>
  <c r="S216" i="40"/>
  <c r="S215" i="40"/>
  <c r="S214" i="40"/>
  <c r="S213" i="40"/>
  <c r="S212" i="40"/>
  <c r="S211" i="40"/>
  <c r="S210" i="40"/>
  <c r="S209" i="40"/>
  <c r="S208" i="40"/>
  <c r="S207" i="40"/>
  <c r="S206" i="40"/>
  <c r="S205" i="40"/>
  <c r="S204" i="40"/>
  <c r="S203" i="40"/>
  <c r="S202" i="40"/>
  <c r="S201" i="40"/>
  <c r="S200" i="40"/>
  <c r="S199" i="40"/>
  <c r="S198" i="40"/>
  <c r="S197" i="40"/>
  <c r="S196" i="40"/>
  <c r="S195" i="40"/>
  <c r="S194" i="40"/>
  <c r="S193" i="40"/>
  <c r="S192" i="40"/>
  <c r="S191" i="40"/>
  <c r="S190" i="40"/>
  <c r="S189" i="40"/>
  <c r="S188" i="40"/>
  <c r="S187" i="40"/>
  <c r="S186" i="40"/>
  <c r="S185" i="40"/>
  <c r="S184" i="40"/>
  <c r="S183" i="40"/>
  <c r="S182" i="40"/>
  <c r="S181" i="40"/>
  <c r="S180" i="40"/>
  <c r="S179" i="40"/>
  <c r="S178" i="40"/>
  <c r="S177" i="40"/>
  <c r="S176" i="40"/>
  <c r="S175" i="40"/>
  <c r="S174" i="40"/>
  <c r="S173" i="40"/>
  <c r="S172" i="40"/>
  <c r="S171" i="40"/>
  <c r="S170" i="40"/>
  <c r="S169" i="40"/>
  <c r="S168" i="40"/>
  <c r="S167" i="40"/>
  <c r="S166" i="40"/>
  <c r="S165" i="40"/>
  <c r="S164" i="40"/>
  <c r="S163" i="40"/>
  <c r="S162" i="40"/>
  <c r="S161" i="40"/>
  <c r="S160" i="40"/>
  <c r="S159" i="40"/>
  <c r="S158" i="40"/>
  <c r="S157" i="40"/>
  <c r="S156" i="40"/>
  <c r="S155" i="40"/>
  <c r="S154" i="40"/>
  <c r="S153" i="40"/>
  <c r="S152" i="40"/>
  <c r="S151" i="40"/>
  <c r="S150" i="40"/>
  <c r="S149" i="40"/>
  <c r="S148" i="40"/>
  <c r="S147" i="40"/>
  <c r="S146" i="40"/>
  <c r="S145" i="40"/>
  <c r="S144" i="40"/>
  <c r="S143" i="40"/>
  <c r="S142" i="40"/>
  <c r="S141" i="40"/>
  <c r="S140" i="40"/>
  <c r="S139" i="40"/>
  <c r="S138" i="40"/>
  <c r="S137" i="40"/>
  <c r="S136" i="40"/>
  <c r="S135" i="40"/>
  <c r="S134" i="40"/>
  <c r="S133" i="40"/>
  <c r="S132" i="40"/>
  <c r="S131" i="40"/>
  <c r="S130" i="40"/>
  <c r="S129" i="40"/>
  <c r="S128" i="40"/>
  <c r="S127" i="40"/>
  <c r="S126" i="40"/>
  <c r="S125" i="40"/>
  <c r="S124" i="40"/>
  <c r="S123" i="40"/>
  <c r="S122" i="40"/>
  <c r="S121" i="40"/>
  <c r="S120" i="40"/>
  <c r="S119" i="40"/>
  <c r="S118" i="40"/>
  <c r="S117" i="40"/>
  <c r="S116" i="40"/>
  <c r="S115" i="40"/>
  <c r="S114" i="40"/>
  <c r="S113" i="40"/>
  <c r="S112" i="40"/>
  <c r="S111" i="40"/>
  <c r="S110" i="40"/>
  <c r="S109" i="40"/>
  <c r="S108" i="40"/>
  <c r="S107" i="40"/>
  <c r="S106" i="40"/>
  <c r="S105" i="40"/>
  <c r="S104" i="40"/>
  <c r="S103" i="40"/>
  <c r="S102" i="40"/>
  <c r="S101" i="40"/>
  <c r="S100" i="40"/>
  <c r="S99" i="40"/>
  <c r="S98" i="40"/>
  <c r="S97" i="40"/>
  <c r="S96" i="40"/>
  <c r="S95" i="40"/>
  <c r="S94" i="40"/>
  <c r="S93" i="40"/>
  <c r="S92" i="40"/>
  <c r="S91" i="40"/>
  <c r="S90" i="40"/>
  <c r="S89" i="40"/>
  <c r="S88" i="40"/>
  <c r="S87" i="40"/>
  <c r="S86" i="40"/>
  <c r="S21" i="40"/>
  <c r="S85" i="40"/>
  <c r="S84" i="40"/>
  <c r="S83" i="40"/>
  <c r="S82" i="40"/>
  <c r="S81" i="40"/>
  <c r="S80" i="40"/>
  <c r="S79" i="40"/>
  <c r="S78" i="40"/>
  <c r="S77" i="40"/>
  <c r="S76" i="40"/>
  <c r="S75" i="40"/>
  <c r="S74" i="40"/>
  <c r="S73" i="40"/>
  <c r="S72" i="40"/>
  <c r="S71" i="40"/>
  <c r="S70" i="40"/>
  <c r="S69" i="40"/>
  <c r="S68" i="40"/>
  <c r="S67" i="40"/>
  <c r="S66" i="40"/>
  <c r="S65" i="40"/>
  <c r="S64" i="40"/>
  <c r="S63" i="40"/>
  <c r="S62" i="40"/>
  <c r="S61" i="40"/>
  <c r="S60" i="40"/>
  <c r="S59" i="40"/>
  <c r="S58" i="40"/>
  <c r="S57" i="40"/>
  <c r="S56" i="40"/>
  <c r="S55" i="40"/>
  <c r="S54" i="40"/>
  <c r="S53" i="40"/>
  <c r="S52" i="40"/>
  <c r="S51" i="40"/>
  <c r="S50" i="40"/>
  <c r="S49" i="40"/>
  <c r="S48" i="40"/>
  <c r="S47" i="40"/>
  <c r="S46" i="40"/>
  <c r="S45" i="40"/>
  <c r="S44" i="40"/>
  <c r="S43" i="40"/>
  <c r="S42" i="40"/>
  <c r="S13" i="40"/>
  <c r="S20" i="40"/>
  <c r="S22" i="40"/>
  <c r="S24" i="40"/>
  <c r="S26" i="40"/>
  <c r="S28" i="40"/>
  <c r="S30" i="40"/>
  <c r="S32" i="40"/>
  <c r="S34" i="40"/>
  <c r="S36" i="40"/>
  <c r="S38" i="40"/>
  <c r="S40" i="40"/>
  <c r="S7" i="40"/>
  <c r="S10" i="40"/>
  <c r="S15" i="40"/>
  <c r="S17" i="40"/>
  <c r="S19" i="40"/>
  <c r="T11" i="50" l="1"/>
  <c r="Q11" i="50"/>
  <c r="O13" i="50"/>
  <c r="S13" i="50"/>
  <c r="P12" i="50"/>
  <c r="C14" i="50"/>
  <c r="B15" i="50"/>
  <c r="D14" i="50"/>
  <c r="I12" i="50"/>
  <c r="F13" i="50"/>
  <c r="E13" i="50"/>
  <c r="G13" i="50"/>
  <c r="H12" i="50"/>
  <c r="T12" i="50" l="1"/>
  <c r="Q12" i="50"/>
  <c r="O14" i="50"/>
  <c r="S14" i="50"/>
  <c r="P13" i="50"/>
  <c r="B16" i="50"/>
  <c r="C15" i="50"/>
  <c r="D15" i="50"/>
  <c r="H13" i="50"/>
  <c r="F14" i="50"/>
  <c r="G14" i="50" s="1"/>
  <c r="E14" i="50"/>
  <c r="I13" i="50"/>
  <c r="Q13" i="50" l="1"/>
  <c r="T13" i="50"/>
  <c r="O15" i="50"/>
  <c r="S15" i="50"/>
  <c r="P14" i="50"/>
  <c r="H14" i="50"/>
  <c r="I14" i="50"/>
  <c r="B17" i="50"/>
  <c r="D16" i="50"/>
  <c r="C16" i="50"/>
  <c r="F15" i="50"/>
  <c r="G15" i="50" s="1"/>
  <c r="E15" i="50"/>
  <c r="P15" i="50" l="1"/>
  <c r="O16" i="50"/>
  <c r="S16" i="50"/>
  <c r="J14" i="50"/>
  <c r="Q14" i="50"/>
  <c r="T14" i="50"/>
  <c r="J13" i="50"/>
  <c r="J7" i="50"/>
  <c r="J10" i="50"/>
  <c r="J9" i="50"/>
  <c r="H15" i="50"/>
  <c r="J15" i="50" s="1"/>
  <c r="C17" i="50"/>
  <c r="B18" i="50"/>
  <c r="D17" i="50"/>
  <c r="E16" i="50"/>
  <c r="F16" i="50"/>
  <c r="G16" i="50" s="1"/>
  <c r="I15" i="50"/>
  <c r="O17" i="50" l="1"/>
  <c r="P16" i="50"/>
  <c r="S17" i="50"/>
  <c r="Q15" i="50"/>
  <c r="T15" i="50"/>
  <c r="J5" i="50"/>
  <c r="J6" i="50"/>
  <c r="J4" i="50"/>
  <c r="J12" i="50"/>
  <c r="K4" i="50"/>
  <c r="J8" i="50"/>
  <c r="J11" i="50"/>
  <c r="H16" i="50"/>
  <c r="J16" i="50" s="1"/>
  <c r="D18" i="50"/>
  <c r="C18" i="50"/>
  <c r="B19" i="50"/>
  <c r="I16" i="50"/>
  <c r="E17" i="50"/>
  <c r="F17" i="50"/>
  <c r="G17" i="50" s="1"/>
  <c r="S18" i="50" l="1"/>
  <c r="O18" i="50"/>
  <c r="P17" i="50"/>
  <c r="T16" i="50"/>
  <c r="Q16" i="50"/>
  <c r="E18" i="50"/>
  <c r="F18" i="50"/>
  <c r="G18" i="50" s="1"/>
  <c r="H17" i="50"/>
  <c r="J17" i="50" s="1"/>
  <c r="B20" i="50"/>
  <c r="C19" i="50"/>
  <c r="D19" i="50"/>
  <c r="I17" i="50"/>
  <c r="T17" i="50" l="1"/>
  <c r="Q17" i="50"/>
  <c r="P18" i="50"/>
  <c r="S19" i="50"/>
  <c r="O19" i="50"/>
  <c r="H18" i="50"/>
  <c r="J18" i="50" s="1"/>
  <c r="F19" i="50"/>
  <c r="G19" i="50" s="1"/>
  <c r="E19" i="50"/>
  <c r="D20" i="50"/>
  <c r="C20" i="50"/>
  <c r="B21" i="50"/>
  <c r="I18" i="50"/>
  <c r="P19" i="50" l="1"/>
  <c r="S20" i="50"/>
  <c r="O20" i="50"/>
  <c r="Q18" i="50"/>
  <c r="T18" i="50"/>
  <c r="H19" i="50"/>
  <c r="J19" i="50" s="1"/>
  <c r="I19" i="50"/>
  <c r="B22" i="50"/>
  <c r="D21" i="50"/>
  <c r="C21" i="50"/>
  <c r="F20" i="50"/>
  <c r="G20" i="50" s="1"/>
  <c r="E20" i="50"/>
  <c r="S21" i="50" l="1"/>
  <c r="P20" i="50"/>
  <c r="O21" i="50"/>
  <c r="Q19" i="50"/>
  <c r="T19" i="50"/>
  <c r="H20" i="50"/>
  <c r="J20" i="50" s="1"/>
  <c r="F21" i="50"/>
  <c r="G21" i="50" s="1"/>
  <c r="E21" i="50"/>
  <c r="B23" i="50"/>
  <c r="D22" i="50"/>
  <c r="C22" i="50"/>
  <c r="I20" i="50"/>
  <c r="T20" i="50" l="1"/>
  <c r="Q20" i="50"/>
  <c r="O22" i="50"/>
  <c r="P21" i="50"/>
  <c r="S22" i="50"/>
  <c r="H21" i="50"/>
  <c r="J21" i="50" s="1"/>
  <c r="F22" i="50"/>
  <c r="G22" i="50" s="1"/>
  <c r="E22" i="50"/>
  <c r="C23" i="50"/>
  <c r="D23" i="50"/>
  <c r="I21" i="50"/>
  <c r="O23" i="50" l="1"/>
  <c r="S23" i="50"/>
  <c r="P22" i="50"/>
  <c r="T21" i="50"/>
  <c r="Q21" i="50"/>
  <c r="I22" i="50"/>
  <c r="H22" i="50"/>
  <c r="J22" i="50" s="1"/>
  <c r="F23" i="50"/>
  <c r="G23" i="50" s="1"/>
  <c r="E23" i="50"/>
  <c r="T22" i="50" l="1"/>
  <c r="Q22" i="50"/>
  <c r="S24" i="50"/>
  <c r="O24" i="50"/>
  <c r="P23" i="50"/>
  <c r="H23" i="50"/>
  <c r="J23" i="50" s="1"/>
  <c r="I23" i="50"/>
  <c r="V21" i="50" s="1"/>
  <c r="Q23" i="50" l="1"/>
  <c r="T23" i="50"/>
  <c r="O25" i="50"/>
  <c r="P24" i="50"/>
  <c r="S25" i="50"/>
  <c r="T24" i="50" l="1"/>
  <c r="Q24" i="50"/>
  <c r="P25" i="50"/>
  <c r="O26" i="50"/>
  <c r="S26" i="50"/>
  <c r="O27" i="50" l="1"/>
  <c r="P26" i="50"/>
  <c r="S27" i="50"/>
  <c r="Q25" i="50"/>
  <c r="T25" i="50"/>
  <c r="P27" i="50" l="1"/>
  <c r="O28" i="50"/>
  <c r="S28" i="50"/>
  <c r="Q26" i="50"/>
  <c r="T26" i="50"/>
  <c r="S29" i="50" l="1"/>
  <c r="P28" i="50"/>
  <c r="O29" i="50"/>
  <c r="Q27" i="50"/>
  <c r="T27" i="50"/>
  <c r="K5" i="50"/>
  <c r="Q28" i="50" l="1"/>
  <c r="T28" i="50"/>
  <c r="O30" i="50"/>
  <c r="P29" i="50"/>
  <c r="S30" i="50"/>
  <c r="S31" i="50" l="1"/>
  <c r="P30" i="50"/>
  <c r="O31" i="50"/>
  <c r="T29" i="50"/>
  <c r="Q29" i="50"/>
  <c r="Q30" i="50" l="1"/>
  <c r="T30" i="50"/>
  <c r="O32" i="50"/>
  <c r="P31" i="50"/>
  <c r="S32" i="50"/>
  <c r="P32" i="50" l="1"/>
  <c r="O33" i="50"/>
  <c r="S33" i="50"/>
  <c r="T31" i="50"/>
  <c r="Q31" i="50"/>
  <c r="P33" i="50" l="1"/>
  <c r="O34" i="50"/>
  <c r="S34" i="50"/>
  <c r="Q32" i="50"/>
  <c r="T32" i="50"/>
  <c r="S35" i="50" l="1"/>
  <c r="O35" i="50"/>
  <c r="P34" i="50"/>
  <c r="T33" i="50"/>
  <c r="Q33" i="50"/>
  <c r="O9" i="40"/>
  <c r="O12" i="40"/>
  <c r="O7" i="40"/>
  <c r="O13" i="40"/>
  <c r="O10" i="40"/>
  <c r="O8" i="40"/>
  <c r="O11" i="40"/>
  <c r="O6" i="40"/>
  <c r="O15" i="40"/>
  <c r="O5" i="40"/>
  <c r="T5" i="40" s="1"/>
  <c r="O14" i="40"/>
  <c r="Q34" i="50" l="1"/>
  <c r="T34" i="50"/>
  <c r="P35" i="50"/>
  <c r="O36" i="50"/>
  <c r="S36" i="50"/>
  <c r="T6" i="40"/>
  <c r="T7" i="40" s="1"/>
  <c r="Q5" i="40"/>
  <c r="P6" i="40"/>
  <c r="O37" i="50" l="1"/>
  <c r="P36" i="50"/>
  <c r="S37" i="50"/>
  <c r="Q35" i="50"/>
  <c r="T35" i="50"/>
  <c r="R5" i="40"/>
  <c r="P7" i="40"/>
  <c r="Q7" i="40" s="1"/>
  <c r="Q6" i="40"/>
  <c r="R6" i="40" s="1"/>
  <c r="P8" i="40"/>
  <c r="T8" i="40"/>
  <c r="U5" i="40"/>
  <c r="O38" i="50" l="1"/>
  <c r="P37" i="50"/>
  <c r="S38" i="50"/>
  <c r="Q36" i="50"/>
  <c r="T36" i="50"/>
  <c r="U6" i="40"/>
  <c r="P9" i="40"/>
  <c r="T9" i="40"/>
  <c r="Q8" i="40"/>
  <c r="R7" i="40"/>
  <c r="U7" i="40"/>
  <c r="O39" i="50" l="1"/>
  <c r="P38" i="50"/>
  <c r="S39" i="50"/>
  <c r="T37" i="50"/>
  <c r="Q37" i="50"/>
  <c r="R8" i="40"/>
  <c r="U8" i="40"/>
  <c r="Q9" i="40"/>
  <c r="T10" i="40"/>
  <c r="P10" i="40"/>
  <c r="S40" i="50" l="1"/>
  <c r="P39" i="50"/>
  <c r="O40" i="50"/>
  <c r="Q38" i="50"/>
  <c r="T38" i="50"/>
  <c r="Q10" i="40"/>
  <c r="P11" i="40"/>
  <c r="T11" i="40"/>
  <c r="R9" i="40"/>
  <c r="U9" i="40"/>
  <c r="Q39" i="50" l="1"/>
  <c r="T39" i="50"/>
  <c r="K6" i="50"/>
  <c r="S41" i="50"/>
  <c r="P40" i="50"/>
  <c r="O41" i="50"/>
  <c r="P12" i="40"/>
  <c r="T12" i="40"/>
  <c r="Q11" i="40"/>
  <c r="U10" i="40"/>
  <c r="R10" i="40"/>
  <c r="P41" i="50" l="1"/>
  <c r="O42" i="50"/>
  <c r="S42" i="50"/>
  <c r="Q40" i="50"/>
  <c r="T40" i="50"/>
  <c r="R11" i="40"/>
  <c r="U11" i="40"/>
  <c r="P13" i="40"/>
  <c r="Q12" i="40"/>
  <c r="T13" i="40"/>
  <c r="P42" i="50" l="1"/>
  <c r="S43" i="50"/>
  <c r="O43" i="50"/>
  <c r="T41" i="50"/>
  <c r="Q41" i="50"/>
  <c r="Q13" i="40"/>
  <c r="T14" i="40"/>
  <c r="P14" i="40"/>
  <c r="U12" i="40"/>
  <c r="R12" i="40"/>
  <c r="O44" i="50" l="1"/>
  <c r="P43" i="50"/>
  <c r="S44" i="50"/>
  <c r="Q42" i="50"/>
  <c r="T42" i="50"/>
  <c r="U13" i="40"/>
  <c r="R13" i="40"/>
  <c r="P15" i="40"/>
  <c r="Q14" i="40"/>
  <c r="T15" i="40"/>
  <c r="P44" i="50" l="1"/>
  <c r="S45" i="50"/>
  <c r="O45" i="50"/>
  <c r="Q43" i="50"/>
  <c r="T43" i="50"/>
  <c r="P16" i="40"/>
  <c r="O16" i="40" s="1"/>
  <c r="T16" i="40" s="1"/>
  <c r="Q15" i="40"/>
  <c r="R14" i="40"/>
  <c r="U14" i="40"/>
  <c r="P45" i="50" l="1"/>
  <c r="O46" i="50"/>
  <c r="S46" i="50"/>
  <c r="Q44" i="50"/>
  <c r="T44" i="50"/>
  <c r="Q16" i="40"/>
  <c r="P17" i="40"/>
  <c r="O17" i="40" s="1"/>
  <c r="T17" i="40" s="1"/>
  <c r="R15" i="40"/>
  <c r="U15" i="40"/>
  <c r="J4" i="40" s="1"/>
  <c r="O47" i="50" l="1"/>
  <c r="P46" i="50"/>
  <c r="S47" i="50"/>
  <c r="T45" i="50"/>
  <c r="Q45" i="50"/>
  <c r="P18" i="40"/>
  <c r="O18" i="40" s="1"/>
  <c r="T18" i="40" s="1"/>
  <c r="Q17" i="40"/>
  <c r="U16" i="40"/>
  <c r="R16" i="40"/>
  <c r="O48" i="50" l="1"/>
  <c r="P47" i="50"/>
  <c r="S48" i="50"/>
  <c r="T46" i="50"/>
  <c r="Q46" i="50"/>
  <c r="R17" i="40"/>
  <c r="U17" i="40"/>
  <c r="Q18" i="40"/>
  <c r="P19" i="40"/>
  <c r="O19" i="40" s="1"/>
  <c r="T19" i="40" s="1"/>
  <c r="S49" i="50" l="1"/>
  <c r="P48" i="50"/>
  <c r="O49" i="50"/>
  <c r="Q47" i="50"/>
  <c r="T47" i="50"/>
  <c r="Q19" i="40"/>
  <c r="P20" i="40"/>
  <c r="O20" i="40" s="1"/>
  <c r="T20" i="40" s="1"/>
  <c r="R18" i="40"/>
  <c r="U18" i="40"/>
  <c r="Q48" i="50" l="1"/>
  <c r="T48" i="50"/>
  <c r="P49" i="50"/>
  <c r="O50" i="50"/>
  <c r="S50" i="50"/>
  <c r="Q20" i="40"/>
  <c r="P21" i="40"/>
  <c r="O21" i="40" s="1"/>
  <c r="T21" i="40" s="1"/>
  <c r="U19" i="40"/>
  <c r="R19" i="40"/>
  <c r="S51" i="50" l="1"/>
  <c r="O51" i="50"/>
  <c r="P50" i="50"/>
  <c r="T49" i="50"/>
  <c r="Q49" i="50"/>
  <c r="Q21" i="40"/>
  <c r="P22" i="40"/>
  <c r="O22" i="40" s="1"/>
  <c r="T22" i="40" s="1"/>
  <c r="R20" i="40"/>
  <c r="U20" i="40"/>
  <c r="T50" i="50" l="1"/>
  <c r="Q50" i="50"/>
  <c r="P51" i="50"/>
  <c r="O52" i="50"/>
  <c r="S52" i="50"/>
  <c r="U21" i="40"/>
  <c r="R21" i="40"/>
  <c r="P23" i="40"/>
  <c r="O23" i="40" s="1"/>
  <c r="T23" i="40" s="1"/>
  <c r="Q22" i="40"/>
  <c r="P52" i="50" l="1"/>
  <c r="O53" i="50"/>
  <c r="S53" i="50"/>
  <c r="Q51" i="50"/>
  <c r="T51" i="50"/>
  <c r="K7" i="50" s="1"/>
  <c r="R22" i="40"/>
  <c r="U22" i="40"/>
  <c r="Q23" i="40"/>
  <c r="P24" i="40"/>
  <c r="O24" i="40" s="1"/>
  <c r="T24" i="40" s="1"/>
  <c r="S54" i="50" l="1"/>
  <c r="O54" i="50"/>
  <c r="P53" i="50"/>
  <c r="Q52" i="50"/>
  <c r="T52" i="50"/>
  <c r="Q24" i="40"/>
  <c r="P25" i="40"/>
  <c r="O25" i="40" s="1"/>
  <c r="T25" i="40" s="1"/>
  <c r="R23" i="40"/>
  <c r="U23" i="40"/>
  <c r="Q53" i="50" l="1"/>
  <c r="T53" i="50"/>
  <c r="S55" i="50"/>
  <c r="P54" i="50"/>
  <c r="O55" i="50"/>
  <c r="R24" i="40"/>
  <c r="U24" i="40"/>
  <c r="P26" i="40"/>
  <c r="O26" i="40" s="1"/>
  <c r="T26" i="40" s="1"/>
  <c r="Q25" i="40"/>
  <c r="T54" i="50" l="1"/>
  <c r="Q54" i="50"/>
  <c r="O56" i="50"/>
  <c r="P55" i="50"/>
  <c r="S56" i="50"/>
  <c r="P27" i="40"/>
  <c r="O27" i="40" s="1"/>
  <c r="T27" i="40" s="1"/>
  <c r="Q26" i="40"/>
  <c r="R25" i="40"/>
  <c r="U25" i="40"/>
  <c r="S57" i="50" l="1"/>
  <c r="P56" i="50"/>
  <c r="O57" i="50"/>
  <c r="T55" i="50"/>
  <c r="Q55" i="50"/>
  <c r="U26" i="40"/>
  <c r="R26" i="40"/>
  <c r="Q27" i="40"/>
  <c r="P28" i="40"/>
  <c r="O28" i="40" s="1"/>
  <c r="T28" i="40" s="1"/>
  <c r="T56" i="50" l="1"/>
  <c r="Q56" i="50"/>
  <c r="O58" i="50"/>
  <c r="S58" i="50"/>
  <c r="P57" i="50"/>
  <c r="Q28" i="40"/>
  <c r="P29" i="40"/>
  <c r="O29" i="40" s="1"/>
  <c r="T29" i="40" s="1"/>
  <c r="U27" i="40"/>
  <c r="J5" i="40" s="1"/>
  <c r="R27" i="40"/>
  <c r="Q57" i="50" l="1"/>
  <c r="T57" i="50"/>
  <c r="S59" i="50"/>
  <c r="P58" i="50"/>
  <c r="O59" i="50"/>
  <c r="Q29" i="40"/>
  <c r="P30" i="40"/>
  <c r="O30" i="40" s="1"/>
  <c r="T30" i="40" s="1"/>
  <c r="R28" i="40"/>
  <c r="U28" i="40"/>
  <c r="T58" i="50" l="1"/>
  <c r="Q58" i="50"/>
  <c r="P59" i="50"/>
  <c r="O60" i="50"/>
  <c r="S60" i="50"/>
  <c r="Q30" i="40"/>
  <c r="P31" i="40"/>
  <c r="O31" i="40" s="1"/>
  <c r="T31" i="40" s="1"/>
  <c r="U29" i="40"/>
  <c r="R29" i="40"/>
  <c r="S61" i="50" l="1"/>
  <c r="P60" i="50"/>
  <c r="O61" i="50"/>
  <c r="T59" i="50"/>
  <c r="Q59" i="50"/>
  <c r="Q31" i="40"/>
  <c r="P32" i="40"/>
  <c r="O32" i="40" s="1"/>
  <c r="T32" i="40" s="1"/>
  <c r="R30" i="40"/>
  <c r="U30" i="40"/>
  <c r="T60" i="50" l="1"/>
  <c r="Q60" i="50"/>
  <c r="P61" i="50"/>
  <c r="O62" i="50"/>
  <c r="S62" i="50"/>
  <c r="Q32" i="40"/>
  <c r="P33" i="40"/>
  <c r="O33" i="40" s="1"/>
  <c r="T33" i="40" s="1"/>
  <c r="R31" i="40"/>
  <c r="U31" i="40"/>
  <c r="S63" i="50" l="1"/>
  <c r="O63" i="50"/>
  <c r="P62" i="50"/>
  <c r="T61" i="50"/>
  <c r="Q61" i="50"/>
  <c r="Q33" i="40"/>
  <c r="P34" i="40"/>
  <c r="O34" i="40" s="1"/>
  <c r="T34" i="40" s="1"/>
  <c r="U32" i="40"/>
  <c r="R32" i="40"/>
  <c r="P63" i="50" l="1"/>
  <c r="O64" i="50"/>
  <c r="N64" i="50" s="1"/>
  <c r="S64" i="50" s="1"/>
  <c r="T62" i="50"/>
  <c r="Q62" i="50"/>
  <c r="Q34" i="40"/>
  <c r="P35" i="40"/>
  <c r="O35" i="40" s="1"/>
  <c r="T35" i="40" s="1"/>
  <c r="R33" i="40"/>
  <c r="U33" i="40"/>
  <c r="O65" i="50" l="1"/>
  <c r="N65" i="50" s="1"/>
  <c r="S65" i="50" s="1"/>
  <c r="P65" i="50" s="1"/>
  <c r="T65" i="50" s="1"/>
  <c r="P64" i="50"/>
  <c r="Q64" i="50" s="1"/>
  <c r="T63" i="50"/>
  <c r="Q63" i="50"/>
  <c r="K8" i="50"/>
  <c r="T64" i="50"/>
  <c r="P36" i="40"/>
  <c r="O36" i="40" s="1"/>
  <c r="T36" i="40" s="1"/>
  <c r="Q35" i="40"/>
  <c r="R34" i="40"/>
  <c r="U34" i="40"/>
  <c r="O66" i="50" l="1"/>
  <c r="N66" i="50" s="1"/>
  <c r="S66" i="50" s="1"/>
  <c r="Q65" i="50"/>
  <c r="P66" i="50"/>
  <c r="Q66" i="50" s="1"/>
  <c r="O67" i="50"/>
  <c r="N67" i="50" s="1"/>
  <c r="T66" i="50"/>
  <c r="Q36" i="40"/>
  <c r="P37" i="40"/>
  <c r="O37" i="40" s="1"/>
  <c r="T37" i="40" s="1"/>
  <c r="U35" i="40"/>
  <c r="R35" i="40"/>
  <c r="S67" i="50" l="1"/>
  <c r="Q37" i="40"/>
  <c r="P38" i="40"/>
  <c r="O38" i="40" s="1"/>
  <c r="T38" i="40" s="1"/>
  <c r="R36" i="40"/>
  <c r="U36" i="40"/>
  <c r="P67" i="50" l="1"/>
  <c r="O68" i="50"/>
  <c r="N68" i="50" s="1"/>
  <c r="U37" i="40"/>
  <c r="R37" i="40"/>
  <c r="Q38" i="40"/>
  <c r="P39" i="40"/>
  <c r="O39" i="40" s="1"/>
  <c r="T39" i="40" s="1"/>
  <c r="Q67" i="50" l="1"/>
  <c r="T67" i="50"/>
  <c r="S68" i="50"/>
  <c r="Q39" i="40"/>
  <c r="P40" i="40"/>
  <c r="O40" i="40" s="1"/>
  <c r="T40" i="40" s="1"/>
  <c r="R38" i="40"/>
  <c r="U38" i="40"/>
  <c r="P68" i="50" l="1"/>
  <c r="O69" i="50"/>
  <c r="N69" i="50" s="1"/>
  <c r="Q40" i="40"/>
  <c r="P41" i="40"/>
  <c r="O41" i="40" s="1"/>
  <c r="T41" i="40" s="1"/>
  <c r="R39" i="40"/>
  <c r="U39" i="40"/>
  <c r="J6" i="40" s="1"/>
  <c r="T68" i="50" l="1"/>
  <c r="Q68" i="50"/>
  <c r="S69" i="50"/>
  <c r="U40" i="40"/>
  <c r="R40" i="40"/>
  <c r="P42" i="40"/>
  <c r="O42" i="40" s="1"/>
  <c r="T42" i="40" s="1"/>
  <c r="Q41" i="40"/>
  <c r="O70" i="50" l="1"/>
  <c r="N70" i="50" s="1"/>
  <c r="P69" i="50"/>
  <c r="P43" i="40"/>
  <c r="O43" i="40" s="1"/>
  <c r="T43" i="40" s="1"/>
  <c r="Q42" i="40"/>
  <c r="R41" i="40"/>
  <c r="U41" i="40"/>
  <c r="T69" i="50" l="1"/>
  <c r="Q69" i="50"/>
  <c r="S70" i="50"/>
  <c r="P44" i="40"/>
  <c r="O44" i="40" s="1"/>
  <c r="T44" i="40" s="1"/>
  <c r="Q43" i="40"/>
  <c r="R42" i="40"/>
  <c r="U42" i="40"/>
  <c r="P70" i="50" l="1"/>
  <c r="O71" i="50"/>
  <c r="N71" i="50" s="1"/>
  <c r="U43" i="40"/>
  <c r="R43" i="40"/>
  <c r="P45" i="40"/>
  <c r="O45" i="40" s="1"/>
  <c r="T45" i="40" s="1"/>
  <c r="Q44" i="40"/>
  <c r="S71" i="50" l="1"/>
  <c r="T70" i="50"/>
  <c r="Q70" i="50"/>
  <c r="R44" i="40"/>
  <c r="U44" i="40"/>
  <c r="Q45" i="40"/>
  <c r="P46" i="40"/>
  <c r="O46" i="40" s="1"/>
  <c r="T46" i="40" s="1"/>
  <c r="O72" i="50" l="1"/>
  <c r="N72" i="50" s="1"/>
  <c r="S72" i="50" s="1"/>
  <c r="P71" i="50"/>
  <c r="U45" i="40"/>
  <c r="R45" i="40"/>
  <c r="P47" i="40"/>
  <c r="O47" i="40" s="1"/>
  <c r="T47" i="40" s="1"/>
  <c r="Q46" i="40"/>
  <c r="O73" i="50" l="1"/>
  <c r="N73" i="50" s="1"/>
  <c r="S73" i="50" s="1"/>
  <c r="P72" i="50"/>
  <c r="Q72" i="50" s="1"/>
  <c r="T71" i="50"/>
  <c r="Q71" i="50"/>
  <c r="R46" i="40"/>
  <c r="U46" i="40"/>
  <c r="P48" i="40"/>
  <c r="O48" i="40" s="1"/>
  <c r="T48" i="40" s="1"/>
  <c r="Q47" i="40"/>
  <c r="T72" i="50" l="1"/>
  <c r="P73" i="50"/>
  <c r="T73" i="50" s="1"/>
  <c r="O74" i="50"/>
  <c r="N74" i="50" s="1"/>
  <c r="S74" i="50" s="1"/>
  <c r="Q73" i="50"/>
  <c r="R47" i="40"/>
  <c r="U47" i="40"/>
  <c r="Q48" i="40"/>
  <c r="P49" i="40"/>
  <c r="O49" i="40" s="1"/>
  <c r="T49" i="40" s="1"/>
  <c r="P74" i="50" l="1"/>
  <c r="O75" i="50"/>
  <c r="N75" i="50" s="1"/>
  <c r="Q74" i="50"/>
  <c r="T74" i="50"/>
  <c r="Q49" i="40"/>
  <c r="P50" i="40"/>
  <c r="O50" i="40" s="1"/>
  <c r="T50" i="40" s="1"/>
  <c r="U48" i="40"/>
  <c r="R48" i="40"/>
  <c r="S75" i="50" l="1"/>
  <c r="Q50" i="40"/>
  <c r="P51" i="40"/>
  <c r="O51" i="40" s="1"/>
  <c r="T51" i="40" s="1"/>
  <c r="R49" i="40"/>
  <c r="U49" i="40"/>
  <c r="P75" i="50" l="1"/>
  <c r="O76" i="50"/>
  <c r="N76" i="50" s="1"/>
  <c r="S76" i="50" s="1"/>
  <c r="P52" i="40"/>
  <c r="O52" i="40" s="1"/>
  <c r="T52" i="40" s="1"/>
  <c r="Q51" i="40"/>
  <c r="U50" i="40"/>
  <c r="R50" i="40"/>
  <c r="Q75" i="50" l="1"/>
  <c r="T75" i="50"/>
  <c r="K9" i="50" s="1"/>
  <c r="P76" i="50"/>
  <c r="T76" i="50" s="1"/>
  <c r="O77" i="50"/>
  <c r="N77" i="50" s="1"/>
  <c r="U51" i="40"/>
  <c r="J7" i="40" s="1"/>
  <c r="R51" i="40"/>
  <c r="P53" i="40"/>
  <c r="O53" i="40" s="1"/>
  <c r="T53" i="40" s="1"/>
  <c r="Q52" i="40"/>
  <c r="S77" i="50" l="1"/>
  <c r="Q76" i="50"/>
  <c r="R52" i="40"/>
  <c r="U52" i="40"/>
  <c r="Q53" i="40"/>
  <c r="P54" i="40"/>
  <c r="O54" i="40" s="1"/>
  <c r="T54" i="40" s="1"/>
  <c r="O78" i="50" l="1"/>
  <c r="N78" i="50" s="1"/>
  <c r="P77" i="50"/>
  <c r="Q54" i="40"/>
  <c r="P55" i="40"/>
  <c r="O55" i="40" s="1"/>
  <c r="T55" i="40" s="1"/>
  <c r="U53" i="40"/>
  <c r="R53" i="40"/>
  <c r="T77" i="50" l="1"/>
  <c r="Q77" i="50"/>
  <c r="S78" i="50"/>
  <c r="Q55" i="40"/>
  <c r="P56" i="40"/>
  <c r="O56" i="40" s="1"/>
  <c r="T56" i="40" s="1"/>
  <c r="R54" i="40"/>
  <c r="U54" i="40"/>
  <c r="O79" i="50" l="1"/>
  <c r="N79" i="50" s="1"/>
  <c r="S79" i="50" s="1"/>
  <c r="P78" i="50"/>
  <c r="Q56" i="40"/>
  <c r="P57" i="40"/>
  <c r="O57" i="40" s="1"/>
  <c r="T57" i="40" s="1"/>
  <c r="R55" i="40"/>
  <c r="U55" i="40"/>
  <c r="Q78" i="50" l="1"/>
  <c r="T78" i="50"/>
  <c r="O80" i="50"/>
  <c r="N80" i="50" s="1"/>
  <c r="P79" i="50"/>
  <c r="T79" i="50" s="1"/>
  <c r="Q79" i="50"/>
  <c r="R56" i="40"/>
  <c r="U56" i="40"/>
  <c r="P58" i="40"/>
  <c r="O58" i="40" s="1"/>
  <c r="T58" i="40" s="1"/>
  <c r="Q57" i="40"/>
  <c r="S80" i="50" l="1"/>
  <c r="R57" i="40"/>
  <c r="U57" i="40"/>
  <c r="Q58" i="40"/>
  <c r="P59" i="40"/>
  <c r="O59" i="40" s="1"/>
  <c r="T59" i="40" s="1"/>
  <c r="P80" i="50" l="1"/>
  <c r="O81" i="50"/>
  <c r="N81" i="50" s="1"/>
  <c r="P60" i="40"/>
  <c r="O60" i="40" s="1"/>
  <c r="T60" i="40" s="1"/>
  <c r="Q59" i="40"/>
  <c r="U58" i="40"/>
  <c r="R58" i="40"/>
  <c r="S81" i="50" l="1"/>
  <c r="Q80" i="50"/>
  <c r="T80" i="50"/>
  <c r="Q60" i="40"/>
  <c r="P61" i="40"/>
  <c r="O61" i="40" s="1"/>
  <c r="T61" i="40" s="1"/>
  <c r="U59" i="40"/>
  <c r="R59" i="40"/>
  <c r="P81" i="50" l="1"/>
  <c r="O82" i="50"/>
  <c r="N82" i="50" s="1"/>
  <c r="Q61" i="40"/>
  <c r="P62" i="40"/>
  <c r="O62" i="40" s="1"/>
  <c r="T62" i="40" s="1"/>
  <c r="R60" i="40"/>
  <c r="U60" i="40"/>
  <c r="S82" i="50" l="1"/>
  <c r="Q81" i="50"/>
  <c r="T81" i="50"/>
  <c r="Q62" i="40"/>
  <c r="P63" i="40"/>
  <c r="O63" i="40" s="1"/>
  <c r="T63" i="40" s="1"/>
  <c r="U61" i="40"/>
  <c r="R61" i="40"/>
  <c r="O83" i="50" l="1"/>
  <c r="N83" i="50" s="1"/>
  <c r="S83" i="50" s="1"/>
  <c r="P82" i="50"/>
  <c r="P64" i="40"/>
  <c r="O64" i="40" s="1"/>
  <c r="T64" i="40" s="1"/>
  <c r="Q63" i="40"/>
  <c r="R62" i="40"/>
  <c r="U62" i="40"/>
  <c r="O84" i="50" l="1"/>
  <c r="N84" i="50" s="1"/>
  <c r="P83" i="50"/>
  <c r="Q82" i="50"/>
  <c r="T82" i="50"/>
  <c r="Q83" i="50"/>
  <c r="T83" i="50"/>
  <c r="R63" i="40"/>
  <c r="U63" i="40"/>
  <c r="J8" i="40" s="1"/>
  <c r="Q64" i="40"/>
  <c r="P65" i="40"/>
  <c r="O65" i="40" s="1"/>
  <c r="T65" i="40" s="1"/>
  <c r="S84" i="50" l="1"/>
  <c r="P66" i="40"/>
  <c r="O66" i="40" s="1"/>
  <c r="T66" i="40" s="1"/>
  <c r="Q65" i="40"/>
  <c r="U64" i="40"/>
  <c r="R64" i="40"/>
  <c r="P84" i="50" l="1"/>
  <c r="O85" i="50"/>
  <c r="N85" i="50" s="1"/>
  <c r="P67" i="40"/>
  <c r="O67" i="40" s="1"/>
  <c r="T67" i="40" s="1"/>
  <c r="Q66" i="40"/>
  <c r="R65" i="40"/>
  <c r="U65" i="40"/>
  <c r="S85" i="50" l="1"/>
  <c r="Q84" i="50"/>
  <c r="T84" i="50"/>
  <c r="R66" i="40"/>
  <c r="U66" i="40"/>
  <c r="Q67" i="40"/>
  <c r="P68" i="40"/>
  <c r="O68" i="40" s="1"/>
  <c r="T68" i="40" s="1"/>
  <c r="P85" i="50" l="1"/>
  <c r="O86" i="50"/>
  <c r="N86" i="50" s="1"/>
  <c r="S86" i="50" s="1"/>
  <c r="Q68" i="40"/>
  <c r="P69" i="40"/>
  <c r="O69" i="40" s="1"/>
  <c r="T69" i="40" s="1"/>
  <c r="U67" i="40"/>
  <c r="R67" i="40"/>
  <c r="O87" i="50" l="1"/>
  <c r="N87" i="50" s="1"/>
  <c r="S87" i="50" s="1"/>
  <c r="P86" i="50"/>
  <c r="K10" i="50" s="1"/>
  <c r="Q86" i="50"/>
  <c r="Q85" i="50"/>
  <c r="T85" i="50"/>
  <c r="Q69" i="40"/>
  <c r="P70" i="40"/>
  <c r="O70" i="40" s="1"/>
  <c r="T70" i="40" s="1"/>
  <c r="R68" i="40"/>
  <c r="U68" i="40"/>
  <c r="T86" i="50" l="1"/>
  <c r="O88" i="50"/>
  <c r="N88" i="50" s="1"/>
  <c r="P87" i="50"/>
  <c r="T87" i="50" s="1"/>
  <c r="Q87" i="50"/>
  <c r="Q70" i="40"/>
  <c r="P71" i="40"/>
  <c r="O71" i="40" s="1"/>
  <c r="T71" i="40" s="1"/>
  <c r="U69" i="40"/>
  <c r="R69" i="40"/>
  <c r="S88" i="50" l="1"/>
  <c r="Q71" i="40"/>
  <c r="P72" i="40"/>
  <c r="O72" i="40" s="1"/>
  <c r="T72" i="40" s="1"/>
  <c r="U70" i="40"/>
  <c r="R70" i="40"/>
  <c r="P88" i="50" l="1"/>
  <c r="O89" i="50"/>
  <c r="N89" i="50" s="1"/>
  <c r="S89" i="50" s="1"/>
  <c r="P73" i="40"/>
  <c r="O73" i="40" s="1"/>
  <c r="T73" i="40" s="1"/>
  <c r="Q72" i="40"/>
  <c r="U71" i="40"/>
  <c r="R71" i="40"/>
  <c r="P89" i="50" l="1"/>
  <c r="Q89" i="50" s="1"/>
  <c r="O90" i="50"/>
  <c r="N90" i="50" s="1"/>
  <c r="Q88" i="50"/>
  <c r="T88" i="50"/>
  <c r="U72" i="40"/>
  <c r="R72" i="40"/>
  <c r="P74" i="40"/>
  <c r="O74" i="40" s="1"/>
  <c r="T74" i="40" s="1"/>
  <c r="Q73" i="40"/>
  <c r="S90" i="50" l="1"/>
  <c r="T89" i="50"/>
  <c r="U73" i="40"/>
  <c r="R73" i="40"/>
  <c r="P75" i="40"/>
  <c r="O75" i="40" s="1"/>
  <c r="T75" i="40" s="1"/>
  <c r="Q74" i="40"/>
  <c r="O91" i="50" l="1"/>
  <c r="N91" i="50" s="1"/>
  <c r="S91" i="50" s="1"/>
  <c r="P90" i="50"/>
  <c r="U74" i="40"/>
  <c r="R74" i="40"/>
  <c r="Q75" i="40"/>
  <c r="P76" i="40"/>
  <c r="O76" i="40" s="1"/>
  <c r="T76" i="40" s="1"/>
  <c r="O92" i="50" l="1"/>
  <c r="N92" i="50" s="1"/>
  <c r="P91" i="50"/>
  <c r="Q90" i="50"/>
  <c r="T90" i="50"/>
  <c r="Q91" i="50"/>
  <c r="T91" i="50"/>
  <c r="Q76" i="40"/>
  <c r="P77" i="40"/>
  <c r="O77" i="40" s="1"/>
  <c r="T77" i="40" s="1"/>
  <c r="U75" i="40"/>
  <c r="J9" i="40" s="1"/>
  <c r="R75" i="40"/>
  <c r="S92" i="50" l="1"/>
  <c r="Q77" i="40"/>
  <c r="P78" i="40"/>
  <c r="O78" i="40" s="1"/>
  <c r="T78" i="40" s="1"/>
  <c r="U76" i="40"/>
  <c r="R76" i="40"/>
  <c r="P92" i="50" l="1"/>
  <c r="O93" i="50"/>
  <c r="N93" i="50" s="1"/>
  <c r="S93" i="50" s="1"/>
  <c r="Q78" i="40"/>
  <c r="P79" i="40"/>
  <c r="O79" i="40" s="1"/>
  <c r="T79" i="40" s="1"/>
  <c r="U77" i="40"/>
  <c r="R77" i="40"/>
  <c r="P93" i="50" l="1"/>
  <c r="O94" i="50"/>
  <c r="N94" i="50" s="1"/>
  <c r="Q93" i="50"/>
  <c r="T93" i="50"/>
  <c r="Q92" i="50"/>
  <c r="T92" i="50"/>
  <c r="P80" i="40"/>
  <c r="O80" i="40" s="1"/>
  <c r="T80" i="40" s="1"/>
  <c r="Q79" i="40"/>
  <c r="U78" i="40"/>
  <c r="R78" i="40"/>
  <c r="S94" i="50" l="1"/>
  <c r="Q80" i="40"/>
  <c r="P81" i="40"/>
  <c r="O81" i="40" s="1"/>
  <c r="T81" i="40" s="1"/>
  <c r="U79" i="40"/>
  <c r="R79" i="40"/>
  <c r="O95" i="50" l="1"/>
  <c r="N95" i="50" s="1"/>
  <c r="S95" i="50" s="1"/>
  <c r="P94" i="50"/>
  <c r="Q81" i="40"/>
  <c r="P82" i="40"/>
  <c r="O82" i="40" s="1"/>
  <c r="T82" i="40" s="1"/>
  <c r="U80" i="40"/>
  <c r="R80" i="40"/>
  <c r="Q94" i="50" l="1"/>
  <c r="T94" i="50"/>
  <c r="O96" i="50"/>
  <c r="N96" i="50" s="1"/>
  <c r="S96" i="50" s="1"/>
  <c r="P95" i="50"/>
  <c r="Q95" i="50" s="1"/>
  <c r="Q82" i="40"/>
  <c r="P83" i="40"/>
  <c r="O83" i="40" s="1"/>
  <c r="T83" i="40" s="1"/>
  <c r="U81" i="40"/>
  <c r="R81" i="40"/>
  <c r="T95" i="50" l="1"/>
  <c r="P96" i="50"/>
  <c r="O97" i="50"/>
  <c r="N97" i="50" s="1"/>
  <c r="Q96" i="50"/>
  <c r="T96" i="50"/>
  <c r="U82" i="40"/>
  <c r="R82" i="40"/>
  <c r="Q83" i="40"/>
  <c r="P84" i="40"/>
  <c r="O84" i="40" s="1"/>
  <c r="T84" i="40" s="1"/>
  <c r="S97" i="50" l="1"/>
  <c r="U83" i="40"/>
  <c r="R83" i="40"/>
  <c r="Q84" i="40"/>
  <c r="P85" i="40"/>
  <c r="O85" i="40" s="1"/>
  <c r="T85" i="40" s="1"/>
  <c r="P97" i="50" l="1"/>
  <c r="O98" i="50"/>
  <c r="N98" i="50" s="1"/>
  <c r="S98" i="50" s="1"/>
  <c r="Q85" i="40"/>
  <c r="P86" i="40"/>
  <c r="O86" i="40" s="1"/>
  <c r="T86" i="40" s="1"/>
  <c r="R84" i="40"/>
  <c r="U84" i="40"/>
  <c r="O99" i="50" l="1"/>
  <c r="N99" i="50" s="1"/>
  <c r="S99" i="50" s="1"/>
  <c r="P98" i="50"/>
  <c r="Q98" i="50" s="1"/>
  <c r="Q97" i="50"/>
  <c r="T97" i="50"/>
  <c r="U85" i="40"/>
  <c r="R85" i="40"/>
  <c r="P87" i="40"/>
  <c r="O87" i="40" s="1"/>
  <c r="T87" i="40" s="1"/>
  <c r="Q86" i="40"/>
  <c r="T98" i="50" l="1"/>
  <c r="O100" i="50"/>
  <c r="N100" i="50" s="1"/>
  <c r="P99" i="50"/>
  <c r="K11" i="50" s="1"/>
  <c r="Q99" i="50"/>
  <c r="U86" i="40"/>
  <c r="R86" i="40"/>
  <c r="P88" i="40"/>
  <c r="O88" i="40" s="1"/>
  <c r="T88" i="40" s="1"/>
  <c r="Q87" i="40"/>
  <c r="T99" i="50" l="1"/>
  <c r="S100" i="50"/>
  <c r="R87" i="40"/>
  <c r="U87" i="40"/>
  <c r="J10" i="40" s="1"/>
  <c r="Q88" i="40"/>
  <c r="P89" i="40"/>
  <c r="O89" i="40" s="1"/>
  <c r="T89" i="40" s="1"/>
  <c r="P100" i="50" l="1"/>
  <c r="O101" i="50"/>
  <c r="N101" i="50" s="1"/>
  <c r="P90" i="40"/>
  <c r="O90" i="40" s="1"/>
  <c r="T90" i="40" s="1"/>
  <c r="Q89" i="40"/>
  <c r="U88" i="40"/>
  <c r="R88" i="40"/>
  <c r="Q100" i="50" l="1"/>
  <c r="T100" i="50"/>
  <c r="S101" i="50"/>
  <c r="Q90" i="40"/>
  <c r="P91" i="40"/>
  <c r="O91" i="40" s="1"/>
  <c r="T91" i="40" s="1"/>
  <c r="U89" i="40"/>
  <c r="R89" i="40"/>
  <c r="P101" i="50" l="1"/>
  <c r="O102" i="50"/>
  <c r="N102" i="50" s="1"/>
  <c r="U90" i="40"/>
  <c r="R90" i="40"/>
  <c r="P92" i="40"/>
  <c r="O92" i="40" s="1"/>
  <c r="T92" i="40" s="1"/>
  <c r="Q91" i="40"/>
  <c r="Q101" i="50" l="1"/>
  <c r="T101" i="50"/>
  <c r="S102" i="50"/>
  <c r="U91" i="40"/>
  <c r="R91" i="40"/>
  <c r="P93" i="40"/>
  <c r="O93" i="40" s="1"/>
  <c r="T93" i="40" s="1"/>
  <c r="Q92" i="40"/>
  <c r="O103" i="50" l="1"/>
  <c r="N103" i="50" s="1"/>
  <c r="S103" i="50" s="1"/>
  <c r="P102" i="50"/>
  <c r="Q93" i="40"/>
  <c r="P94" i="40"/>
  <c r="O94" i="40" s="1"/>
  <c r="T94" i="40" s="1"/>
  <c r="R92" i="40"/>
  <c r="U92" i="40"/>
  <c r="P103" i="50" l="1"/>
  <c r="O104" i="50"/>
  <c r="N104" i="50" s="1"/>
  <c r="T102" i="50"/>
  <c r="Q102" i="50"/>
  <c r="T103" i="50"/>
  <c r="Q103" i="50"/>
  <c r="Q94" i="40"/>
  <c r="P95" i="40"/>
  <c r="O95" i="40" s="1"/>
  <c r="T95" i="40" s="1"/>
  <c r="U93" i="40"/>
  <c r="R93" i="40"/>
  <c r="S104" i="50" l="1"/>
  <c r="Q95" i="40"/>
  <c r="P96" i="40"/>
  <c r="O96" i="40" s="1"/>
  <c r="T96" i="40" s="1"/>
  <c r="U94" i="40"/>
  <c r="R94" i="40"/>
  <c r="P104" i="50" l="1"/>
  <c r="O105" i="50"/>
  <c r="N105" i="50" s="1"/>
  <c r="U95" i="40"/>
  <c r="R95" i="40"/>
  <c r="Q96" i="40"/>
  <c r="P97" i="40"/>
  <c r="O97" i="40" s="1"/>
  <c r="T97" i="40" s="1"/>
  <c r="T104" i="50" l="1"/>
  <c r="Q104" i="50"/>
  <c r="S105" i="50"/>
  <c r="U96" i="40"/>
  <c r="R96" i="40"/>
  <c r="Q97" i="40"/>
  <c r="P98" i="40"/>
  <c r="O98" i="40" s="1"/>
  <c r="T98" i="40" s="1"/>
  <c r="O106" i="50" l="1"/>
  <c r="N106" i="50" s="1"/>
  <c r="S106" i="50" s="1"/>
  <c r="P105" i="50"/>
  <c r="P99" i="40"/>
  <c r="O99" i="40" s="1"/>
  <c r="T99" i="40" s="1"/>
  <c r="Q98" i="40"/>
  <c r="U97" i="40"/>
  <c r="R97" i="40"/>
  <c r="O107" i="50" l="1"/>
  <c r="N107" i="50" s="1"/>
  <c r="S107" i="50" s="1"/>
  <c r="P106" i="50"/>
  <c r="T105" i="50"/>
  <c r="Q105" i="50"/>
  <c r="T106" i="50"/>
  <c r="Q106" i="50"/>
  <c r="P100" i="40"/>
  <c r="O100" i="40" s="1"/>
  <c r="T100" i="40" s="1"/>
  <c r="Q99" i="40"/>
  <c r="U98" i="40"/>
  <c r="R98" i="40"/>
  <c r="P107" i="50" l="1"/>
  <c r="O108" i="50"/>
  <c r="N108" i="50" s="1"/>
  <c r="T107" i="50"/>
  <c r="Q107" i="50"/>
  <c r="U99" i="40"/>
  <c r="J11" i="40" s="1"/>
  <c r="R99" i="40"/>
  <c r="P101" i="40"/>
  <c r="O101" i="40" s="1"/>
  <c r="T101" i="40" s="1"/>
  <c r="Q100" i="40"/>
  <c r="S108" i="50" l="1"/>
  <c r="Q101" i="40"/>
  <c r="P102" i="40"/>
  <c r="O102" i="40" s="1"/>
  <c r="T102" i="40" s="1"/>
  <c r="U100" i="40"/>
  <c r="R100" i="40"/>
  <c r="O109" i="50" l="1"/>
  <c r="N109" i="50" s="1"/>
  <c r="S109" i="50" s="1"/>
  <c r="P108" i="50"/>
  <c r="P103" i="40"/>
  <c r="O103" i="40" s="1"/>
  <c r="T103" i="40" s="1"/>
  <c r="Q102" i="40"/>
  <c r="U101" i="40"/>
  <c r="R101" i="40"/>
  <c r="P109" i="50" l="1"/>
  <c r="O110" i="50"/>
  <c r="N110" i="50" s="1"/>
  <c r="Q108" i="50"/>
  <c r="T108" i="50"/>
  <c r="T109" i="50"/>
  <c r="Q109" i="50"/>
  <c r="Q103" i="40"/>
  <c r="P104" i="40"/>
  <c r="O104" i="40" s="1"/>
  <c r="T104" i="40" s="1"/>
  <c r="U102" i="40"/>
  <c r="R102" i="40"/>
  <c r="S110" i="50" l="1"/>
  <c r="P105" i="40"/>
  <c r="O105" i="40" s="1"/>
  <c r="T105" i="40" s="1"/>
  <c r="Q104" i="40"/>
  <c r="U103" i="40"/>
  <c r="R103" i="40"/>
  <c r="O111" i="50" l="1"/>
  <c r="N111" i="50" s="1"/>
  <c r="S111" i="50" s="1"/>
  <c r="P110" i="50"/>
  <c r="P106" i="40"/>
  <c r="O106" i="40" s="1"/>
  <c r="T106" i="40" s="1"/>
  <c r="Q105" i="40"/>
  <c r="U104" i="40"/>
  <c r="R104" i="40"/>
  <c r="P111" i="50" l="1"/>
  <c r="K12" i="50" s="1"/>
  <c r="O112" i="50"/>
  <c r="N112" i="50" s="1"/>
  <c r="T110" i="50"/>
  <c r="Q110" i="50"/>
  <c r="P107" i="40"/>
  <c r="O107" i="40" s="1"/>
  <c r="T107" i="40" s="1"/>
  <c r="Q106" i="40"/>
  <c r="U105" i="40"/>
  <c r="R105" i="40"/>
  <c r="Q111" i="50" l="1"/>
  <c r="T111" i="50"/>
  <c r="S112" i="50"/>
  <c r="Q107" i="40"/>
  <c r="P108" i="40"/>
  <c r="O108" i="40" s="1"/>
  <c r="T108" i="40" s="1"/>
  <c r="U106" i="40"/>
  <c r="R106" i="40"/>
  <c r="P112" i="50" l="1"/>
  <c r="O113" i="50"/>
  <c r="N113" i="50" s="1"/>
  <c r="Q108" i="40"/>
  <c r="P109" i="40"/>
  <c r="O109" i="40" s="1"/>
  <c r="T109" i="40" s="1"/>
  <c r="U107" i="40"/>
  <c r="R107" i="40"/>
  <c r="S113" i="50" l="1"/>
  <c r="Q112" i="50"/>
  <c r="T112" i="50"/>
  <c r="U108" i="40"/>
  <c r="R108" i="40"/>
  <c r="Q109" i="40"/>
  <c r="P110" i="40"/>
  <c r="O110" i="40" s="1"/>
  <c r="T110" i="40" s="1"/>
  <c r="O114" i="50" l="1"/>
  <c r="N114" i="50" s="1"/>
  <c r="S114" i="50" s="1"/>
  <c r="P113" i="50"/>
  <c r="Q110" i="40"/>
  <c r="P111" i="40"/>
  <c r="O111" i="40" s="1"/>
  <c r="T111" i="40" s="1"/>
  <c r="U109" i="40"/>
  <c r="R109" i="40"/>
  <c r="T113" i="50" l="1"/>
  <c r="Q113" i="50"/>
  <c r="O115" i="50"/>
  <c r="N115" i="50" s="1"/>
  <c r="S115" i="50" s="1"/>
  <c r="P114" i="50"/>
  <c r="Q114" i="50" s="1"/>
  <c r="Q111" i="40"/>
  <c r="P112" i="40"/>
  <c r="O112" i="40" s="1"/>
  <c r="T112" i="40" s="1"/>
  <c r="U110" i="40"/>
  <c r="R110" i="40"/>
  <c r="T114" i="50" l="1"/>
  <c r="P115" i="50"/>
  <c r="O116" i="50"/>
  <c r="N116" i="50" s="1"/>
  <c r="T115" i="50"/>
  <c r="Q115" i="50"/>
  <c r="Q112" i="40"/>
  <c r="P113" i="40"/>
  <c r="O113" i="40" s="1"/>
  <c r="T113" i="40" s="1"/>
  <c r="U111" i="40"/>
  <c r="J12" i="40" s="1"/>
  <c r="R111" i="40"/>
  <c r="S116" i="50" l="1"/>
  <c r="Q113" i="40"/>
  <c r="P114" i="40"/>
  <c r="O114" i="40" s="1"/>
  <c r="T114" i="40" s="1"/>
  <c r="U112" i="40"/>
  <c r="R112" i="40"/>
  <c r="O117" i="50" l="1"/>
  <c r="N117" i="50" s="1"/>
  <c r="P116" i="50"/>
  <c r="Q114" i="40"/>
  <c r="P115" i="40"/>
  <c r="O115" i="40" s="1"/>
  <c r="T115" i="40" s="1"/>
  <c r="U113" i="40"/>
  <c r="R113" i="40"/>
  <c r="Q116" i="50" l="1"/>
  <c r="T116" i="50"/>
  <c r="S117" i="50"/>
  <c r="Q115" i="40"/>
  <c r="P116" i="40"/>
  <c r="O116" i="40" s="1"/>
  <c r="T116" i="40" s="1"/>
  <c r="U114" i="40"/>
  <c r="R114" i="40"/>
  <c r="P117" i="50" l="1"/>
  <c r="O118" i="50"/>
  <c r="N118" i="50" s="1"/>
  <c r="Q116" i="40"/>
  <c r="P117" i="40"/>
  <c r="O117" i="40" s="1"/>
  <c r="T117" i="40" s="1"/>
  <c r="U115" i="40"/>
  <c r="R115" i="40"/>
  <c r="S118" i="50" l="1"/>
  <c r="T117" i="50"/>
  <c r="Q117" i="50"/>
  <c r="U116" i="40"/>
  <c r="R116" i="40"/>
  <c r="P118" i="40"/>
  <c r="O118" i="40" s="1"/>
  <c r="T118" i="40" s="1"/>
  <c r="Q117" i="40"/>
  <c r="O119" i="50" l="1"/>
  <c r="N119" i="50" s="1"/>
  <c r="S119" i="50" s="1"/>
  <c r="P118" i="50"/>
  <c r="U117" i="40"/>
  <c r="R117" i="40"/>
  <c r="Q118" i="40"/>
  <c r="P119" i="40"/>
  <c r="O119" i="40" s="1"/>
  <c r="T119" i="40" s="1"/>
  <c r="T118" i="50" l="1"/>
  <c r="Q118" i="50"/>
  <c r="P119" i="50"/>
  <c r="Q119" i="50" s="1"/>
  <c r="O120" i="50"/>
  <c r="N120" i="50" s="1"/>
  <c r="T119" i="50"/>
  <c r="U118" i="40"/>
  <c r="R118" i="40"/>
  <c r="Q119" i="40"/>
  <c r="P120" i="40"/>
  <c r="O120" i="40" s="1"/>
  <c r="T120" i="40" s="1"/>
  <c r="S120" i="50" l="1"/>
  <c r="U119" i="40"/>
  <c r="R119" i="40"/>
  <c r="P121" i="40"/>
  <c r="O121" i="40" s="1"/>
  <c r="T121" i="40" s="1"/>
  <c r="Q120" i="40"/>
  <c r="O121" i="50" l="1"/>
  <c r="N121" i="50" s="1"/>
  <c r="S121" i="50" s="1"/>
  <c r="P120" i="50"/>
  <c r="U120" i="40"/>
  <c r="R120" i="40"/>
  <c r="Q121" i="40"/>
  <c r="P122" i="40"/>
  <c r="O122" i="40" s="1"/>
  <c r="T122" i="40" s="1"/>
  <c r="P121" i="50" l="1"/>
  <c r="O122" i="50"/>
  <c r="N122" i="50" s="1"/>
  <c r="Q120" i="50"/>
  <c r="T120" i="50"/>
  <c r="T121" i="50"/>
  <c r="Q121" i="50"/>
  <c r="Q122" i="40"/>
  <c r="P123" i="40"/>
  <c r="O123" i="40" s="1"/>
  <c r="T123" i="40" s="1"/>
  <c r="U121" i="40"/>
  <c r="R121" i="40"/>
  <c r="S122" i="50" l="1"/>
  <c r="Q123" i="40"/>
  <c r="P124" i="40"/>
  <c r="O124" i="40" s="1"/>
  <c r="T124" i="40" s="1"/>
  <c r="U122" i="40"/>
  <c r="R122" i="40"/>
  <c r="O123" i="50" l="1"/>
  <c r="N123" i="50" s="1"/>
  <c r="S123" i="50" s="1"/>
  <c r="P122" i="50"/>
  <c r="Q124" i="40"/>
  <c r="R124" i="40" s="1"/>
  <c r="P125" i="40"/>
  <c r="O125" i="40" s="1"/>
  <c r="T125" i="40" s="1"/>
  <c r="R123" i="40"/>
  <c r="U123" i="40"/>
  <c r="J13" i="40" s="1"/>
  <c r="P123" i="50" l="1"/>
  <c r="K13" i="50" s="1"/>
  <c r="O124" i="50"/>
  <c r="N124" i="50" s="1"/>
  <c r="T122" i="50"/>
  <c r="Q122" i="50"/>
  <c r="Q123" i="50"/>
  <c r="T123" i="50"/>
  <c r="U124" i="40"/>
  <c r="Q125" i="40"/>
  <c r="R125" i="40" s="1"/>
  <c r="P126" i="40"/>
  <c r="O126" i="40" s="1"/>
  <c r="T126" i="40" s="1"/>
  <c r="S124" i="50" l="1"/>
  <c r="U125" i="40"/>
  <c r="Q126" i="40"/>
  <c r="R126" i="40" s="1"/>
  <c r="P127" i="40"/>
  <c r="O127" i="40" s="1"/>
  <c r="P124" i="50" l="1"/>
  <c r="O125" i="50"/>
  <c r="N125" i="50" s="1"/>
  <c r="U126" i="40"/>
  <c r="T127" i="40"/>
  <c r="S125" i="50" l="1"/>
  <c r="Q124" i="50"/>
  <c r="T124" i="50"/>
  <c r="Q127" i="40"/>
  <c r="P128" i="40"/>
  <c r="O128" i="40" s="1"/>
  <c r="O126" i="50" l="1"/>
  <c r="N126" i="50" s="1"/>
  <c r="S126" i="50" s="1"/>
  <c r="P125" i="50"/>
  <c r="T128" i="40"/>
  <c r="R127" i="40"/>
  <c r="U127" i="40"/>
  <c r="O127" i="50" l="1"/>
  <c r="N127" i="50" s="1"/>
  <c r="P126" i="50"/>
  <c r="S127" i="50"/>
  <c r="T125" i="50"/>
  <c r="Q125" i="50"/>
  <c r="T126" i="50"/>
  <c r="Q126" i="50"/>
  <c r="Q128" i="40"/>
  <c r="P129" i="40"/>
  <c r="O129" i="40" s="1"/>
  <c r="T129" i="40" s="1"/>
  <c r="P127" i="50" l="1"/>
  <c r="O128" i="50"/>
  <c r="N128" i="50" s="1"/>
  <c r="T127" i="50"/>
  <c r="Q127" i="50"/>
  <c r="P130" i="40"/>
  <c r="O130" i="40" s="1"/>
  <c r="T130" i="40" s="1"/>
  <c r="Q129" i="40"/>
  <c r="R129" i="40" s="1"/>
  <c r="R128" i="40"/>
  <c r="U128" i="40"/>
  <c r="S128" i="50" l="1"/>
  <c r="U129" i="40"/>
  <c r="P131" i="40"/>
  <c r="O131" i="40" s="1"/>
  <c r="T131" i="40" s="1"/>
  <c r="Q130" i="40"/>
  <c r="U130" i="40" s="1"/>
  <c r="R130" i="40" l="1"/>
  <c r="O129" i="50"/>
  <c r="N129" i="50" s="1"/>
  <c r="P128" i="50"/>
  <c r="P132" i="40"/>
  <c r="O132" i="40" s="1"/>
  <c r="T132" i="40" s="1"/>
  <c r="Q131" i="40"/>
  <c r="R131" i="40" s="1"/>
  <c r="Q128" i="50" l="1"/>
  <c r="T128" i="50"/>
  <c r="S129" i="50"/>
  <c r="U131" i="40"/>
  <c r="Q132" i="40"/>
  <c r="U132" i="40" s="1"/>
  <c r="P133" i="40"/>
  <c r="O133" i="40" s="1"/>
  <c r="R132" i="40"/>
  <c r="P129" i="50" l="1"/>
  <c r="O130" i="50"/>
  <c r="N130" i="50" s="1"/>
  <c r="S130" i="50" s="1"/>
  <c r="T133" i="40"/>
  <c r="O131" i="50" l="1"/>
  <c r="N131" i="50" s="1"/>
  <c r="S131" i="50" s="1"/>
  <c r="P130" i="50"/>
  <c r="T130" i="50" s="1"/>
  <c r="Q130" i="50"/>
  <c r="T129" i="50"/>
  <c r="Q129" i="50"/>
  <c r="Q133" i="40"/>
  <c r="P134" i="40"/>
  <c r="O134" i="40" s="1"/>
  <c r="T134" i="40" s="1"/>
  <c r="P131" i="50" l="1"/>
  <c r="O132" i="50"/>
  <c r="N132" i="50" s="1"/>
  <c r="Q131" i="50"/>
  <c r="T131" i="50"/>
  <c r="P135" i="40"/>
  <c r="O135" i="40" s="1"/>
  <c r="T135" i="40" s="1"/>
  <c r="Q134" i="40"/>
  <c r="U134" i="40" s="1"/>
  <c r="R133" i="40"/>
  <c r="U133" i="40"/>
  <c r="S132" i="50" l="1"/>
  <c r="R134" i="40"/>
  <c r="Q135" i="40"/>
  <c r="P136" i="40"/>
  <c r="O136" i="40" s="1"/>
  <c r="O133" i="50" l="1"/>
  <c r="N133" i="50" s="1"/>
  <c r="S133" i="50" s="1"/>
  <c r="P132" i="50"/>
  <c r="U135" i="40"/>
  <c r="J14" i="40" s="1"/>
  <c r="R135" i="40"/>
  <c r="T136" i="40"/>
  <c r="O134" i="50" l="1"/>
  <c r="N134" i="50" s="1"/>
  <c r="P133" i="50"/>
  <c r="Q132" i="50"/>
  <c r="T132" i="50"/>
  <c r="T133" i="50"/>
  <c r="Q133" i="50"/>
  <c r="Q136" i="40"/>
  <c r="P137" i="40"/>
  <c r="O137" i="40" s="1"/>
  <c r="T137" i="40" s="1"/>
  <c r="S134" i="50" l="1"/>
  <c r="Q137" i="40"/>
  <c r="U137" i="40" s="1"/>
  <c r="P138" i="40"/>
  <c r="O138" i="40" s="1"/>
  <c r="T138" i="40" s="1"/>
  <c r="R136" i="40"/>
  <c r="U136" i="40"/>
  <c r="O135" i="50" l="1"/>
  <c r="N135" i="50" s="1"/>
  <c r="S135" i="50" s="1"/>
  <c r="P134" i="50"/>
  <c r="R137" i="40"/>
  <c r="P139" i="40"/>
  <c r="O139" i="40" s="1"/>
  <c r="T139" i="40" s="1"/>
  <c r="Q138" i="40"/>
  <c r="R138" i="40" s="1"/>
  <c r="O136" i="50" l="1"/>
  <c r="N136" i="50" s="1"/>
  <c r="P135" i="50"/>
  <c r="K14" i="50" s="1"/>
  <c r="S136" i="50"/>
  <c r="Q134" i="50"/>
  <c r="T134" i="50"/>
  <c r="Q135" i="50"/>
  <c r="T135" i="50"/>
  <c r="U138" i="40"/>
  <c r="P140" i="40"/>
  <c r="O140" i="40" s="1"/>
  <c r="T140" i="40" s="1"/>
  <c r="Q139" i="40"/>
  <c r="U139" i="40" s="1"/>
  <c r="O137" i="50" l="1"/>
  <c r="N137" i="50" s="1"/>
  <c r="S137" i="50" s="1"/>
  <c r="P136" i="50"/>
  <c r="T136" i="50" s="1"/>
  <c r="Q136" i="50"/>
  <c r="R139" i="40"/>
  <c r="Q140" i="40"/>
  <c r="U140" i="40" s="1"/>
  <c r="P141" i="40"/>
  <c r="O141" i="40" s="1"/>
  <c r="T141" i="40" s="1"/>
  <c r="R140" i="40"/>
  <c r="O138" i="50" l="1"/>
  <c r="N138" i="50" s="1"/>
  <c r="S138" i="50" s="1"/>
  <c r="P137" i="50"/>
  <c r="Q137" i="50"/>
  <c r="T137" i="50"/>
  <c r="Q141" i="40"/>
  <c r="R141" i="40" s="1"/>
  <c r="P142" i="40"/>
  <c r="O142" i="40" s="1"/>
  <c r="T142" i="40" s="1"/>
  <c r="P138" i="50" l="1"/>
  <c r="T138" i="50" s="1"/>
  <c r="O139" i="50"/>
  <c r="N139" i="50" s="1"/>
  <c r="S139" i="50" s="1"/>
  <c r="Q138" i="50"/>
  <c r="U141" i="40"/>
  <c r="Q142" i="40"/>
  <c r="U142" i="40" s="1"/>
  <c r="P143" i="40"/>
  <c r="O143" i="40" s="1"/>
  <c r="T143" i="40" s="1"/>
  <c r="R142" i="40"/>
  <c r="P139" i="50" l="1"/>
  <c r="Q139" i="50" s="1"/>
  <c r="O140" i="50"/>
  <c r="N140" i="50" s="1"/>
  <c r="S140" i="50" s="1"/>
  <c r="P144" i="40"/>
  <c r="O144" i="40" s="1"/>
  <c r="T144" i="40" s="1"/>
  <c r="Q143" i="40"/>
  <c r="R143" i="40" s="1"/>
  <c r="T139" i="50" l="1"/>
  <c r="P140" i="50"/>
  <c r="O141" i="50"/>
  <c r="N141" i="50" s="1"/>
  <c r="T140" i="50"/>
  <c r="Q140" i="50"/>
  <c r="U143" i="40"/>
  <c r="Q144" i="40"/>
  <c r="R144" i="40" s="1"/>
  <c r="P145" i="40"/>
  <c r="O145" i="40" s="1"/>
  <c r="T145" i="40" s="1"/>
  <c r="U144" i="40" l="1"/>
  <c r="S141" i="50"/>
  <c r="Q145" i="40"/>
  <c r="R145" i="40" s="1"/>
  <c r="P146" i="40"/>
  <c r="O146" i="40" s="1"/>
  <c r="T146" i="40" s="1"/>
  <c r="P141" i="50" l="1"/>
  <c r="O142" i="50"/>
  <c r="N142" i="50" s="1"/>
  <c r="S142" i="50" s="1"/>
  <c r="U145" i="40"/>
  <c r="Q146" i="40"/>
  <c r="U146" i="40" s="1"/>
  <c r="P147" i="40"/>
  <c r="O147" i="40" s="1"/>
  <c r="T147" i="40" s="1"/>
  <c r="R146" i="40"/>
  <c r="P142" i="50" l="1"/>
  <c r="O143" i="50"/>
  <c r="N143" i="50" s="1"/>
  <c r="T142" i="50"/>
  <c r="Q142" i="50"/>
  <c r="Q141" i="50"/>
  <c r="T141" i="50"/>
  <c r="P148" i="40"/>
  <c r="O148" i="40" s="1"/>
  <c r="T148" i="40" s="1"/>
  <c r="Q147" i="40"/>
  <c r="S143" i="50" l="1"/>
  <c r="R147" i="40"/>
  <c r="U147" i="40"/>
  <c r="P149" i="40"/>
  <c r="O149" i="40" s="1"/>
  <c r="T149" i="40" s="1"/>
  <c r="Q148" i="40"/>
  <c r="R148" i="40" s="1"/>
  <c r="P143" i="50" l="1"/>
  <c r="O144" i="50"/>
  <c r="N144" i="50" s="1"/>
  <c r="U148" i="40"/>
  <c r="P150" i="40"/>
  <c r="O150" i="40" s="1"/>
  <c r="T150" i="40" s="1"/>
  <c r="Q149" i="40"/>
  <c r="U149" i="40" s="1"/>
  <c r="S144" i="50" l="1"/>
  <c r="Q143" i="50"/>
  <c r="T143" i="50"/>
  <c r="R149" i="40"/>
  <c r="Q150" i="40"/>
  <c r="R150" i="40" s="1"/>
  <c r="P151" i="40"/>
  <c r="O151" i="40" s="1"/>
  <c r="U150" i="40"/>
  <c r="P144" i="50" l="1"/>
  <c r="O145" i="50"/>
  <c r="N145" i="50" s="1"/>
  <c r="S145" i="50" s="1"/>
  <c r="T151" i="40"/>
  <c r="P145" i="50" l="1"/>
  <c r="O146" i="50"/>
  <c r="N146" i="50" s="1"/>
  <c r="Q145" i="50"/>
  <c r="T145" i="50"/>
  <c r="T144" i="50"/>
  <c r="Q144" i="50"/>
  <c r="P152" i="40"/>
  <c r="O152" i="40" s="1"/>
  <c r="Q151" i="40"/>
  <c r="S146" i="50" l="1"/>
  <c r="R151" i="40"/>
  <c r="U151" i="40"/>
  <c r="T152" i="40"/>
  <c r="P146" i="50" l="1"/>
  <c r="O147" i="50"/>
  <c r="N147" i="50" s="1"/>
  <c r="S147" i="50" s="1"/>
  <c r="Q152" i="40"/>
  <c r="P153" i="40"/>
  <c r="O153" i="40" s="1"/>
  <c r="T153" i="40" s="1"/>
  <c r="P147" i="50" l="1"/>
  <c r="K15" i="50" s="1"/>
  <c r="O148" i="50"/>
  <c r="N148" i="50" s="1"/>
  <c r="Q147" i="50"/>
  <c r="T147" i="50"/>
  <c r="T146" i="50"/>
  <c r="Q146" i="50"/>
  <c r="Q153" i="40"/>
  <c r="U153" i="40" s="1"/>
  <c r="P154" i="40"/>
  <c r="O154" i="40" s="1"/>
  <c r="U152" i="40"/>
  <c r="R152" i="40"/>
  <c r="S148" i="50" l="1"/>
  <c r="R153" i="40"/>
  <c r="T154" i="40"/>
  <c r="P148" i="50" l="1"/>
  <c r="O149" i="50"/>
  <c r="N149" i="50" s="1"/>
  <c r="S149" i="50" s="1"/>
  <c r="Q154" i="40"/>
  <c r="P155" i="40"/>
  <c r="O155" i="40" s="1"/>
  <c r="T155" i="40" s="1"/>
  <c r="P149" i="50" l="1"/>
  <c r="O150" i="50"/>
  <c r="N150" i="50" s="1"/>
  <c r="S150" i="50" s="1"/>
  <c r="Q149" i="50"/>
  <c r="T149" i="50"/>
  <c r="T148" i="50"/>
  <c r="Q148" i="50"/>
  <c r="P156" i="40"/>
  <c r="O156" i="40" s="1"/>
  <c r="Q155" i="40"/>
  <c r="U155" i="40" s="1"/>
  <c r="R154" i="40"/>
  <c r="U154" i="40"/>
  <c r="P150" i="50" l="1"/>
  <c r="O151" i="50"/>
  <c r="N151" i="50" s="1"/>
  <c r="S151" i="50" s="1"/>
  <c r="T150" i="50"/>
  <c r="Q150" i="50"/>
  <c r="R155" i="40"/>
  <c r="T156" i="40"/>
  <c r="P151" i="50" l="1"/>
  <c r="O152" i="50"/>
  <c r="N152" i="50" s="1"/>
  <c r="S152" i="50" s="1"/>
  <c r="Q151" i="50"/>
  <c r="T151" i="50"/>
  <c r="P157" i="40"/>
  <c r="O157" i="40" s="1"/>
  <c r="Q156" i="40"/>
  <c r="P152" i="50" l="1"/>
  <c r="O153" i="50"/>
  <c r="N153" i="50" s="1"/>
  <c r="T152" i="50"/>
  <c r="Q152" i="50"/>
  <c r="R156" i="40"/>
  <c r="U156" i="40"/>
  <c r="T157" i="40"/>
  <c r="S153" i="50" l="1"/>
  <c r="Q157" i="40"/>
  <c r="P158" i="40"/>
  <c r="O158" i="40" s="1"/>
  <c r="T158" i="40" s="1"/>
  <c r="P153" i="50" l="1"/>
  <c r="O154" i="50"/>
  <c r="N154" i="50" s="1"/>
  <c r="Q158" i="40"/>
  <c r="U158" i="40" s="1"/>
  <c r="P159" i="40"/>
  <c r="O159" i="40" s="1"/>
  <c r="U157" i="40"/>
  <c r="R157" i="40"/>
  <c r="S154" i="50" l="1"/>
  <c r="Q153" i="50"/>
  <c r="T153" i="50"/>
  <c r="R158" i="40"/>
  <c r="T159" i="40"/>
  <c r="P154" i="50" l="1"/>
  <c r="O155" i="50"/>
  <c r="N155" i="50" s="1"/>
  <c r="Q159" i="40"/>
  <c r="P160" i="40"/>
  <c r="O160" i="40" s="1"/>
  <c r="T160" i="40" s="1"/>
  <c r="S155" i="50" l="1"/>
  <c r="T154" i="50"/>
  <c r="Q154" i="50"/>
  <c r="P161" i="40"/>
  <c r="O161" i="40" s="1"/>
  <c r="Q160" i="40"/>
  <c r="U160" i="40" s="1"/>
  <c r="R159" i="40"/>
  <c r="U159" i="40"/>
  <c r="P155" i="50" l="1"/>
  <c r="O156" i="50"/>
  <c r="N156" i="50" s="1"/>
  <c r="R160" i="40"/>
  <c r="T161" i="40"/>
  <c r="S156" i="50" l="1"/>
  <c r="Q155" i="50"/>
  <c r="T155" i="50"/>
  <c r="Q161" i="40"/>
  <c r="P162" i="40"/>
  <c r="O162" i="40" s="1"/>
  <c r="P156" i="50" l="1"/>
  <c r="O157" i="50"/>
  <c r="N157" i="50" s="1"/>
  <c r="T162" i="40"/>
  <c r="R161" i="40"/>
  <c r="U161" i="40"/>
  <c r="S157" i="50" l="1"/>
  <c r="T156" i="50"/>
  <c r="Q156" i="50"/>
  <c r="Q162" i="40"/>
  <c r="P163" i="40"/>
  <c r="O163" i="40" s="1"/>
  <c r="T163" i="40" s="1"/>
  <c r="P157" i="50" l="1"/>
  <c r="O158" i="50"/>
  <c r="N158" i="50" s="1"/>
  <c r="S158" i="50" s="1"/>
  <c r="P164" i="40"/>
  <c r="O164" i="40" s="1"/>
  <c r="Q163" i="40"/>
  <c r="R163" i="40" s="1"/>
  <c r="R162" i="40"/>
  <c r="U162" i="40"/>
  <c r="O159" i="50" l="1"/>
  <c r="N159" i="50" s="1"/>
  <c r="S159" i="50" s="1"/>
  <c r="P158" i="50"/>
  <c r="T158" i="50" s="1"/>
  <c r="Q158" i="50"/>
  <c r="Q157" i="50"/>
  <c r="T157" i="50"/>
  <c r="U163" i="40"/>
  <c r="T164" i="40"/>
  <c r="P159" i="50" l="1"/>
  <c r="K16" i="50" s="1"/>
  <c r="O160" i="50"/>
  <c r="N160" i="50" s="1"/>
  <c r="S160" i="50" s="1"/>
  <c r="Q159" i="50"/>
  <c r="Q164" i="40"/>
  <c r="P165" i="40"/>
  <c r="O165" i="40" s="1"/>
  <c r="T165" i="40" s="1"/>
  <c r="T159" i="50" l="1"/>
  <c r="P160" i="50"/>
  <c r="O161" i="50"/>
  <c r="N161" i="50" s="1"/>
  <c r="S161" i="50" s="1"/>
  <c r="T160" i="50"/>
  <c r="Q160" i="50"/>
  <c r="P166" i="40"/>
  <c r="O166" i="40" s="1"/>
  <c r="T166" i="40" s="1"/>
  <c r="Q165" i="40"/>
  <c r="U165" i="40" s="1"/>
  <c r="R164" i="40"/>
  <c r="U164" i="40"/>
  <c r="P161" i="50" l="1"/>
  <c r="Q161" i="50" s="1"/>
  <c r="O162" i="50"/>
  <c r="N162" i="50" s="1"/>
  <c r="T161" i="50"/>
  <c r="R165" i="40"/>
  <c r="Q166" i="40"/>
  <c r="U166" i="40" s="1"/>
  <c r="P167" i="40"/>
  <c r="O167" i="40" s="1"/>
  <c r="T167" i="40" s="1"/>
  <c r="R166" i="40"/>
  <c r="S162" i="50" l="1"/>
  <c r="Q167" i="40"/>
  <c r="R167" i="40" s="1"/>
  <c r="P168" i="40"/>
  <c r="O168" i="40" s="1"/>
  <c r="P162" i="50" l="1"/>
  <c r="O163" i="50"/>
  <c r="N163" i="50" s="1"/>
  <c r="U167" i="40"/>
  <c r="T168" i="40"/>
  <c r="S163" i="50" l="1"/>
  <c r="Q162" i="50"/>
  <c r="T162" i="50"/>
  <c r="P169" i="40"/>
  <c r="O169" i="40" s="1"/>
  <c r="Q168" i="40"/>
  <c r="P163" i="50" l="1"/>
  <c r="O164" i="50"/>
  <c r="N164" i="50" s="1"/>
  <c r="S164" i="50" s="1"/>
  <c r="R168" i="40"/>
  <c r="U168" i="40"/>
  <c r="T169" i="40"/>
  <c r="P164" i="50" l="1"/>
  <c r="O165" i="50"/>
  <c r="N165" i="50" s="1"/>
  <c r="T164" i="50"/>
  <c r="Q164" i="50"/>
  <c r="T163" i="50"/>
  <c r="Q163" i="50"/>
  <c r="Q169" i="40"/>
  <c r="P170" i="40"/>
  <c r="O170" i="40" s="1"/>
  <c r="S165" i="50" l="1"/>
  <c r="T170" i="40"/>
  <c r="U169" i="40"/>
  <c r="R169" i="40"/>
  <c r="P165" i="50" l="1"/>
  <c r="O166" i="50"/>
  <c r="N166" i="50" s="1"/>
  <c r="S166" i="50" s="1"/>
  <c r="P171" i="40"/>
  <c r="O171" i="40" s="1"/>
  <c r="T171" i="40" s="1"/>
  <c r="Q170" i="40"/>
  <c r="P166" i="50" l="1"/>
  <c r="O167" i="50"/>
  <c r="N167" i="50" s="1"/>
  <c r="S167" i="50" s="1"/>
  <c r="T166" i="50"/>
  <c r="Q166" i="50"/>
  <c r="Q165" i="50"/>
  <c r="T165" i="50"/>
  <c r="Q171" i="40"/>
  <c r="P172" i="40"/>
  <c r="O172" i="40" s="1"/>
  <c r="T172" i="40" s="1"/>
  <c r="R170" i="40"/>
  <c r="U170" i="40"/>
  <c r="P167" i="50" l="1"/>
  <c r="T167" i="50" s="1"/>
  <c r="O168" i="50"/>
  <c r="N168" i="50" s="1"/>
  <c r="S168" i="50" s="1"/>
  <c r="U171" i="40"/>
  <c r="R171" i="40"/>
  <c r="Q172" i="40"/>
  <c r="U172" i="40" s="1"/>
  <c r="P173" i="40"/>
  <c r="O173" i="40" s="1"/>
  <c r="Q167" i="50" l="1"/>
  <c r="P168" i="50"/>
  <c r="O169" i="50"/>
  <c r="N169" i="50" s="1"/>
  <c r="S169" i="50" s="1"/>
  <c r="T168" i="50"/>
  <c r="Q168" i="50"/>
  <c r="R172" i="40"/>
  <c r="T173" i="40"/>
  <c r="P169" i="50" l="1"/>
  <c r="O170" i="50"/>
  <c r="N170" i="50" s="1"/>
  <c r="S170" i="50" s="1"/>
  <c r="T169" i="50"/>
  <c r="Q169" i="50"/>
  <c r="P174" i="40"/>
  <c r="O174" i="40" s="1"/>
  <c r="T174" i="40" s="1"/>
  <c r="Q173" i="40"/>
  <c r="P170" i="50" l="1"/>
  <c r="O171" i="50"/>
  <c r="N171" i="50" s="1"/>
  <c r="Q170" i="50"/>
  <c r="T170" i="50"/>
  <c r="Q174" i="40"/>
  <c r="R174" i="40" s="1"/>
  <c r="P175" i="40"/>
  <c r="O175" i="40" s="1"/>
  <c r="T175" i="40" s="1"/>
  <c r="R173" i="40"/>
  <c r="U173" i="40"/>
  <c r="S171" i="50" l="1"/>
  <c r="U174" i="40"/>
  <c r="Q175" i="40"/>
  <c r="U175" i="40" s="1"/>
  <c r="P176" i="40"/>
  <c r="O176" i="40" s="1"/>
  <c r="T176" i="40" s="1"/>
  <c r="R175" i="40"/>
  <c r="P171" i="50" l="1"/>
  <c r="O172" i="50"/>
  <c r="N172" i="50" s="1"/>
  <c r="S172" i="50" s="1"/>
  <c r="P177" i="40"/>
  <c r="O177" i="40" s="1"/>
  <c r="T177" i="40" s="1"/>
  <c r="Q176" i="40"/>
  <c r="U176" i="40" s="1"/>
  <c r="P172" i="50" l="1"/>
  <c r="O173" i="50"/>
  <c r="N173" i="50" s="1"/>
  <c r="T172" i="50"/>
  <c r="Q172" i="50"/>
  <c r="K17" i="50"/>
  <c r="T171" i="50"/>
  <c r="Q171" i="50"/>
  <c r="R176" i="40"/>
  <c r="P178" i="40"/>
  <c r="O178" i="40" s="1"/>
  <c r="Q177" i="40"/>
  <c r="R177" i="40" s="1"/>
  <c r="S173" i="50" l="1"/>
  <c r="U177" i="40"/>
  <c r="T178" i="40"/>
  <c r="P173" i="50" l="1"/>
  <c r="O174" i="50"/>
  <c r="N174" i="50" s="1"/>
  <c r="S174" i="50" s="1"/>
  <c r="Q178" i="40"/>
  <c r="P179" i="40"/>
  <c r="O179" i="40" s="1"/>
  <c r="P174" i="50" l="1"/>
  <c r="Q174" i="50" s="1"/>
  <c r="O175" i="50"/>
  <c r="N175" i="50" s="1"/>
  <c r="S175" i="50" s="1"/>
  <c r="T173" i="50"/>
  <c r="Q173" i="50"/>
  <c r="T179" i="40"/>
  <c r="R178" i="40"/>
  <c r="U178" i="40"/>
  <c r="T174" i="50" l="1"/>
  <c r="P175" i="50"/>
  <c r="O176" i="50"/>
  <c r="N176" i="50" s="1"/>
  <c r="S176" i="50" s="1"/>
  <c r="T175" i="50"/>
  <c r="Q175" i="50"/>
  <c r="P180" i="40"/>
  <c r="O180" i="40" s="1"/>
  <c r="Q179" i="40"/>
  <c r="P176" i="50" l="1"/>
  <c r="O177" i="50"/>
  <c r="N177" i="50" s="1"/>
  <c r="T176" i="50"/>
  <c r="Q176" i="50"/>
  <c r="R179" i="40"/>
  <c r="U179" i="40"/>
  <c r="T180" i="40"/>
  <c r="S177" i="50" l="1"/>
  <c r="Q180" i="40"/>
  <c r="P181" i="40"/>
  <c r="O181" i="40" s="1"/>
  <c r="P177" i="50" l="1"/>
  <c r="O178" i="50"/>
  <c r="N178" i="50" s="1"/>
  <c r="T181" i="40"/>
  <c r="U180" i="40"/>
  <c r="R180" i="40"/>
  <c r="S178" i="50" l="1"/>
  <c r="Q177" i="50"/>
  <c r="T177" i="50"/>
  <c r="Q181" i="40"/>
  <c r="P182" i="40"/>
  <c r="O182" i="40" s="1"/>
  <c r="T182" i="40" s="1"/>
  <c r="P178" i="50" l="1"/>
  <c r="O179" i="50"/>
  <c r="N179" i="50" s="1"/>
  <c r="S179" i="50" s="1"/>
  <c r="Q182" i="40"/>
  <c r="R182" i="40" s="1"/>
  <c r="P183" i="40"/>
  <c r="O183" i="40" s="1"/>
  <c r="T183" i="40" s="1"/>
  <c r="R181" i="40"/>
  <c r="U181" i="40"/>
  <c r="P179" i="50" l="1"/>
  <c r="O180" i="50"/>
  <c r="N180" i="50" s="1"/>
  <c r="S180" i="50" s="1"/>
  <c r="T179" i="50"/>
  <c r="Q179" i="50"/>
  <c r="Q178" i="50"/>
  <c r="T178" i="50"/>
  <c r="U182" i="40"/>
  <c r="P184" i="40"/>
  <c r="O184" i="40" s="1"/>
  <c r="T184" i="40" s="1"/>
  <c r="Q183" i="40"/>
  <c r="R183" i="40" s="1"/>
  <c r="P180" i="50" l="1"/>
  <c r="T180" i="50" s="1"/>
  <c r="O181" i="50"/>
  <c r="N181" i="50" s="1"/>
  <c r="Q180" i="50"/>
  <c r="U183" i="40"/>
  <c r="Q184" i="40"/>
  <c r="U184" i="40" s="1"/>
  <c r="P185" i="40"/>
  <c r="O185" i="40" s="1"/>
  <c r="T185" i="40" s="1"/>
  <c r="S181" i="50" l="1"/>
  <c r="R184" i="40"/>
  <c r="P186" i="40"/>
  <c r="O186" i="40" s="1"/>
  <c r="T186" i="40" s="1"/>
  <c r="Q185" i="40"/>
  <c r="U185" i="40" s="1"/>
  <c r="P181" i="50" l="1"/>
  <c r="O182" i="50"/>
  <c r="N182" i="50" s="1"/>
  <c r="S182" i="50" s="1"/>
  <c r="R185" i="40"/>
  <c r="Q186" i="40"/>
  <c r="U186" i="40" s="1"/>
  <c r="P187" i="40"/>
  <c r="O187" i="40" s="1"/>
  <c r="T187" i="40" s="1"/>
  <c r="P182" i="50" l="1"/>
  <c r="O183" i="50"/>
  <c r="N183" i="50" s="1"/>
  <c r="S183" i="50" s="1"/>
  <c r="T182" i="50"/>
  <c r="Q182" i="50"/>
  <c r="Q181" i="50"/>
  <c r="T181" i="50"/>
  <c r="R186" i="40"/>
  <c r="P188" i="40"/>
  <c r="O188" i="40" s="1"/>
  <c r="Q187" i="40"/>
  <c r="U187" i="40" s="1"/>
  <c r="P183" i="50" l="1"/>
  <c r="K18" i="50" s="1"/>
  <c r="O184" i="50"/>
  <c r="S184" i="50"/>
  <c r="T183" i="50"/>
  <c r="Q183" i="50"/>
  <c r="T188" i="40"/>
  <c r="P189" i="40" s="1"/>
  <c r="O189" i="40" s="1"/>
  <c r="R187" i="40"/>
  <c r="P184" i="50" l="1"/>
  <c r="T184" i="50" s="1"/>
  <c r="O185" i="50"/>
  <c r="S185" i="50"/>
  <c r="Q188" i="40"/>
  <c r="U188" i="40" s="1"/>
  <c r="T189" i="40"/>
  <c r="Q189" i="40" s="1"/>
  <c r="U189" i="40" s="1"/>
  <c r="R188" i="40"/>
  <c r="P185" i="50" l="1"/>
  <c r="T185" i="50" s="1"/>
  <c r="O186" i="50"/>
  <c r="S186" i="50"/>
  <c r="P190" i="40"/>
  <c r="O190" i="40" s="1"/>
  <c r="T190" i="40" s="1"/>
  <c r="Q190" i="40" s="1"/>
  <c r="U190" i="40" s="1"/>
  <c r="R189" i="40"/>
  <c r="P186" i="50" l="1"/>
  <c r="T186" i="50" s="1"/>
  <c r="O187" i="50"/>
  <c r="S187" i="50"/>
  <c r="P191" i="40"/>
  <c r="O191" i="40" s="1"/>
  <c r="T191" i="40" s="1"/>
  <c r="Q191" i="40" s="1"/>
  <c r="U191" i="40" s="1"/>
  <c r="R190" i="40"/>
  <c r="P187" i="50" l="1"/>
  <c r="T187" i="50" s="1"/>
  <c r="O188" i="50"/>
  <c r="S188" i="50"/>
  <c r="P192" i="40"/>
  <c r="O192" i="40" s="1"/>
  <c r="T192" i="40" s="1"/>
  <c r="Q192" i="40" s="1"/>
  <c r="U192" i="40" s="1"/>
  <c r="R191" i="40"/>
  <c r="P188" i="50" l="1"/>
  <c r="T188" i="50" s="1"/>
  <c r="O189" i="50"/>
  <c r="S189" i="50"/>
  <c r="P193" i="40"/>
  <c r="O193" i="40" s="1"/>
  <c r="T193" i="40" s="1"/>
  <c r="P194" i="40" s="1"/>
  <c r="O194" i="40" s="1"/>
  <c r="T194" i="40" s="1"/>
  <c r="R192" i="40"/>
  <c r="P189" i="50" l="1"/>
  <c r="T189" i="50" s="1"/>
  <c r="O190" i="50"/>
  <c r="S190" i="50"/>
  <c r="Q193" i="40"/>
  <c r="U193" i="40" s="1"/>
  <c r="R193" i="40"/>
  <c r="Q194" i="40"/>
  <c r="U194" i="40" s="1"/>
  <c r="P195" i="40"/>
  <c r="O195" i="40" s="1"/>
  <c r="T195" i="40" s="1"/>
  <c r="P190" i="50" l="1"/>
  <c r="T190" i="50" s="1"/>
  <c r="O191" i="50"/>
  <c r="S191" i="50"/>
  <c r="R194" i="40"/>
  <c r="Q195" i="40"/>
  <c r="P196" i="40"/>
  <c r="O196" i="40" s="1"/>
  <c r="T196" i="40" s="1"/>
  <c r="P191" i="50" l="1"/>
  <c r="T191" i="50" s="1"/>
  <c r="O192" i="50"/>
  <c r="S192" i="50"/>
  <c r="U195" i="40"/>
  <c r="R195" i="40"/>
  <c r="Q196" i="40"/>
  <c r="U196" i="40" s="1"/>
  <c r="P197" i="40"/>
  <c r="O197" i="40" s="1"/>
  <c r="T197" i="40" s="1"/>
  <c r="P192" i="50" l="1"/>
  <c r="T192" i="50" s="1"/>
  <c r="O193" i="50"/>
  <c r="S193" i="50"/>
  <c r="R196" i="40"/>
  <c r="P198" i="40"/>
  <c r="O198" i="40" s="1"/>
  <c r="T198" i="40" s="1"/>
  <c r="Q197" i="40"/>
  <c r="U197" i="40" s="1"/>
  <c r="P193" i="50" l="1"/>
  <c r="T193" i="50" s="1"/>
  <c r="O194" i="50"/>
  <c r="S194" i="50"/>
  <c r="R197" i="40"/>
  <c r="Q198" i="40"/>
  <c r="U198" i="40" s="1"/>
  <c r="P199" i="40"/>
  <c r="O199" i="40" s="1"/>
  <c r="P194" i="50" l="1"/>
  <c r="T194" i="50" s="1"/>
  <c r="O195" i="50"/>
  <c r="S195" i="50"/>
  <c r="T199" i="40"/>
  <c r="Q199" i="40" s="1"/>
  <c r="U199" i="40" s="1"/>
  <c r="R198" i="40"/>
  <c r="P195" i="50" l="1"/>
  <c r="O196" i="50"/>
  <c r="S196" i="50"/>
  <c r="P200" i="40"/>
  <c r="O200" i="40" s="1"/>
  <c r="T200" i="40" s="1"/>
  <c r="P201" i="40" s="1"/>
  <c r="O201" i="40" s="1"/>
  <c r="R199" i="40"/>
  <c r="P196" i="50" l="1"/>
  <c r="T196" i="50" s="1"/>
  <c r="O197" i="50"/>
  <c r="S197" i="50"/>
  <c r="T195" i="50"/>
  <c r="K19" i="50"/>
  <c r="Q200" i="40"/>
  <c r="U200" i="40" s="1"/>
  <c r="T201" i="40"/>
  <c r="Q201" i="40" s="1"/>
  <c r="U201" i="40" s="1"/>
  <c r="R200" i="40"/>
  <c r="P202" i="40" l="1"/>
  <c r="O202" i="40" s="1"/>
  <c r="T202" i="40" s="1"/>
  <c r="Q202" i="40" s="1"/>
  <c r="U202" i="40" s="1"/>
  <c r="P197" i="50"/>
  <c r="T197" i="50" s="1"/>
  <c r="O198" i="50"/>
  <c r="S198" i="50"/>
  <c r="R201" i="40"/>
  <c r="P203" i="40" l="1"/>
  <c r="O203" i="40" s="1"/>
  <c r="T203" i="40" s="1"/>
  <c r="Q203" i="40" s="1"/>
  <c r="U203" i="40" s="1"/>
  <c r="P198" i="50"/>
  <c r="T198" i="50" s="1"/>
  <c r="O199" i="50"/>
  <c r="S199" i="50"/>
  <c r="R202" i="40"/>
  <c r="P199" i="50" l="1"/>
  <c r="T199" i="50" s="1"/>
  <c r="O200" i="50"/>
  <c r="S200" i="50"/>
  <c r="P204" i="40"/>
  <c r="O204" i="40" s="1"/>
  <c r="T204" i="40" s="1"/>
  <c r="R203" i="40"/>
  <c r="P200" i="50" l="1"/>
  <c r="T200" i="50" s="1"/>
  <c r="O201" i="50"/>
  <c r="S201" i="50"/>
  <c r="Q204" i="40"/>
  <c r="U204" i="40" s="1"/>
  <c r="P205" i="40"/>
  <c r="O205" i="40" s="1"/>
  <c r="T205" i="40" s="1"/>
  <c r="R204" i="40"/>
  <c r="P201" i="50" l="1"/>
  <c r="T201" i="50" s="1"/>
  <c r="O202" i="50"/>
  <c r="S202" i="50"/>
  <c r="Q205" i="40"/>
  <c r="U205" i="40" s="1"/>
  <c r="P206" i="40"/>
  <c r="O206" i="40" s="1"/>
  <c r="T206" i="40" s="1"/>
  <c r="P207" i="40" s="1"/>
  <c r="O207" i="40" s="1"/>
  <c r="T207" i="40" s="1"/>
  <c r="R205" i="40"/>
  <c r="P202" i="50" l="1"/>
  <c r="T202" i="50" s="1"/>
  <c r="O203" i="50"/>
  <c r="S203" i="50"/>
  <c r="Q206" i="40"/>
  <c r="U206" i="40" s="1"/>
  <c r="R206" i="40"/>
  <c r="Q207" i="40"/>
  <c r="P208" i="40"/>
  <c r="O208" i="40" s="1"/>
  <c r="P203" i="50" l="1"/>
  <c r="T203" i="50" s="1"/>
  <c r="O204" i="50"/>
  <c r="S204" i="50"/>
  <c r="U207" i="40"/>
  <c r="T208" i="40"/>
  <c r="Q208" i="40" s="1"/>
  <c r="U208" i="40" s="1"/>
  <c r="R207" i="40"/>
  <c r="P209" i="40" l="1"/>
  <c r="O209" i="40" s="1"/>
  <c r="T209" i="40" s="1"/>
  <c r="Q209" i="40" s="1"/>
  <c r="U209" i="40" s="1"/>
  <c r="P204" i="50"/>
  <c r="T204" i="50" s="1"/>
  <c r="O205" i="50"/>
  <c r="S205" i="50"/>
  <c r="R208" i="40"/>
  <c r="P205" i="50" l="1"/>
  <c r="T205" i="50" s="1"/>
  <c r="O206" i="50"/>
  <c r="S206" i="50"/>
  <c r="P210" i="40"/>
  <c r="O210" i="40" s="1"/>
  <c r="T210" i="40" s="1"/>
  <c r="R209" i="40"/>
  <c r="P206" i="50" l="1"/>
  <c r="T206" i="50" s="1"/>
  <c r="O207" i="50"/>
  <c r="S207" i="50"/>
  <c r="Q210" i="40"/>
  <c r="U210" i="40" s="1"/>
  <c r="P211" i="40"/>
  <c r="O211" i="40" s="1"/>
  <c r="T211" i="40" s="1"/>
  <c r="P212" i="40" s="1"/>
  <c r="O212" i="40" s="1"/>
  <c r="R210" i="40"/>
  <c r="P207" i="50" l="1"/>
  <c r="O208" i="50"/>
  <c r="S208" i="50"/>
  <c r="Q211" i="40"/>
  <c r="U211" i="40" s="1"/>
  <c r="T212" i="40"/>
  <c r="Q212" i="40" s="1"/>
  <c r="U212" i="40" s="1"/>
  <c r="R211" i="40"/>
  <c r="P208" i="50" l="1"/>
  <c r="T208" i="50" s="1"/>
  <c r="O209" i="50"/>
  <c r="S209" i="50"/>
  <c r="T207" i="50"/>
  <c r="K20" i="50"/>
  <c r="P213" i="40"/>
  <c r="O213" i="40" s="1"/>
  <c r="T213" i="40" s="1"/>
  <c r="Q213" i="40" s="1"/>
  <c r="U213" i="40" s="1"/>
  <c r="R212" i="40"/>
  <c r="P209" i="50" l="1"/>
  <c r="T209" i="50" s="1"/>
  <c r="O210" i="50"/>
  <c r="S210" i="50"/>
  <c r="P214" i="40"/>
  <c r="O214" i="40" s="1"/>
  <c r="T214" i="40" s="1"/>
  <c r="P215" i="40" s="1"/>
  <c r="O215" i="40" s="1"/>
  <c r="R213" i="40"/>
  <c r="P210" i="50" l="1"/>
  <c r="T210" i="50" s="1"/>
  <c r="O211" i="50"/>
  <c r="S211" i="50"/>
  <c r="Q214" i="40"/>
  <c r="U214" i="40" s="1"/>
  <c r="T215" i="40"/>
  <c r="P216" i="40" s="1"/>
  <c r="O216" i="40" s="1"/>
  <c r="T216" i="40" s="1"/>
  <c r="R214" i="40"/>
  <c r="Q215" i="40" l="1"/>
  <c r="U215" i="40" s="1"/>
  <c r="P211" i="50"/>
  <c r="T211" i="50" s="1"/>
  <c r="O212" i="50"/>
  <c r="S212" i="50"/>
  <c r="R215" i="40"/>
  <c r="Q216" i="40"/>
  <c r="U216" i="40" s="1"/>
  <c r="P217" i="40"/>
  <c r="O217" i="40" s="1"/>
  <c r="T217" i="40" s="1"/>
  <c r="P212" i="50" l="1"/>
  <c r="T212" i="50" s="1"/>
  <c r="O213" i="50"/>
  <c r="S213" i="50"/>
  <c r="R216" i="40"/>
  <c r="Q217" i="40"/>
  <c r="U217" i="40" s="1"/>
  <c r="P218" i="40"/>
  <c r="O218" i="40" s="1"/>
  <c r="T218" i="40" s="1"/>
  <c r="P213" i="50" l="1"/>
  <c r="T213" i="50" s="1"/>
  <c r="O214" i="50"/>
  <c r="S214" i="50"/>
  <c r="R217" i="40"/>
  <c r="P219" i="40"/>
  <c r="O219" i="40" s="1"/>
  <c r="T219" i="40" s="1"/>
  <c r="Q218" i="40"/>
  <c r="U218" i="40" s="1"/>
  <c r="P214" i="50" l="1"/>
  <c r="T214" i="50" s="1"/>
  <c r="O215" i="50"/>
  <c r="S215" i="50"/>
  <c r="R218" i="40"/>
  <c r="P220" i="40"/>
  <c r="O220" i="40" s="1"/>
  <c r="T220" i="40" s="1"/>
  <c r="Q219" i="40"/>
  <c r="P215" i="50" l="1"/>
  <c r="T215" i="50" s="1"/>
  <c r="O216" i="50"/>
  <c r="S216" i="50"/>
  <c r="U219" i="40"/>
  <c r="R219" i="40"/>
  <c r="Q220" i="40"/>
  <c r="U220" i="40" s="1"/>
  <c r="P221" i="40"/>
  <c r="O221" i="40" s="1"/>
  <c r="T221" i="40" s="1"/>
  <c r="P216" i="50" l="1"/>
  <c r="T216" i="50" s="1"/>
  <c r="O217" i="50"/>
  <c r="S217" i="50"/>
  <c r="R220" i="40"/>
  <c r="Q221" i="40"/>
  <c r="U221" i="40" s="1"/>
  <c r="P222" i="40"/>
  <c r="O222" i="40" s="1"/>
  <c r="T222" i="40" s="1"/>
  <c r="P217" i="50" l="1"/>
  <c r="T217" i="50" s="1"/>
  <c r="O218" i="50"/>
  <c r="S218" i="50"/>
  <c r="R221" i="40"/>
  <c r="P223" i="40"/>
  <c r="O223" i="40" s="1"/>
  <c r="T223" i="40" s="1"/>
  <c r="Q222" i="40"/>
  <c r="U222" i="40" s="1"/>
  <c r="P218" i="50" l="1"/>
  <c r="T218" i="50" s="1"/>
  <c r="O219" i="50"/>
  <c r="S219" i="50"/>
  <c r="R222" i="40"/>
  <c r="Q223" i="40"/>
  <c r="U223" i="40" s="1"/>
  <c r="P224" i="40"/>
  <c r="O224" i="40" s="1"/>
  <c r="P219" i="50" l="1"/>
  <c r="O220" i="50"/>
  <c r="S220" i="50"/>
  <c r="T224" i="40"/>
  <c r="Q224" i="40" s="1"/>
  <c r="U224" i="40" s="1"/>
  <c r="R223" i="40"/>
  <c r="P220" i="50" l="1"/>
  <c r="T220" i="50" s="1"/>
  <c r="O221" i="50"/>
  <c r="S221" i="50"/>
  <c r="T219" i="50"/>
  <c r="K21" i="50"/>
  <c r="P225" i="40"/>
  <c r="O225" i="40" s="1"/>
  <c r="T225" i="40" s="1"/>
  <c r="Q225" i="40" s="1"/>
  <c r="U225" i="40" s="1"/>
  <c r="R224" i="40"/>
  <c r="P221" i="50" l="1"/>
  <c r="T221" i="50" s="1"/>
  <c r="O222" i="50"/>
  <c r="S222" i="50"/>
  <c r="P226" i="40"/>
  <c r="O226" i="40" s="1"/>
  <c r="T226" i="40" s="1"/>
  <c r="P227" i="40" s="1"/>
  <c r="O227" i="40" s="1"/>
  <c r="R225" i="40"/>
  <c r="P222" i="50" l="1"/>
  <c r="T222" i="50" s="1"/>
  <c r="O223" i="50"/>
  <c r="S223" i="50"/>
  <c r="Q226" i="40"/>
  <c r="U226" i="40" s="1"/>
  <c r="T227" i="40"/>
  <c r="P228" i="40" s="1"/>
  <c r="O228" i="40" s="1"/>
  <c r="T228" i="40" s="1"/>
  <c r="R226" i="40"/>
  <c r="Q227" i="40" l="1"/>
  <c r="U227" i="40" s="1"/>
  <c r="P223" i="50"/>
  <c r="T223" i="50" s="1"/>
  <c r="O224" i="50"/>
  <c r="S224" i="50"/>
  <c r="R227" i="40"/>
  <c r="P229" i="40"/>
  <c r="O229" i="40" s="1"/>
  <c r="T229" i="40" s="1"/>
  <c r="Q228" i="40"/>
  <c r="U228" i="40" s="1"/>
  <c r="P224" i="50" l="1"/>
  <c r="T224" i="50" s="1"/>
  <c r="O225" i="50"/>
  <c r="S225" i="50"/>
  <c r="R228" i="40"/>
  <c r="P230" i="40"/>
  <c r="O230" i="40" s="1"/>
  <c r="T230" i="40" s="1"/>
  <c r="Q229" i="40"/>
  <c r="U229" i="40" s="1"/>
  <c r="P225" i="50" l="1"/>
  <c r="T225" i="50" s="1"/>
  <c r="O226" i="50"/>
  <c r="S226" i="50"/>
  <c r="R229" i="40"/>
  <c r="Q230" i="40"/>
  <c r="U230" i="40" s="1"/>
  <c r="P231" i="40"/>
  <c r="O231" i="40" s="1"/>
  <c r="P226" i="50" l="1"/>
  <c r="T226" i="50" s="1"/>
  <c r="O227" i="50"/>
  <c r="S227" i="50"/>
  <c r="T231" i="40"/>
  <c r="Q231" i="40" s="1"/>
  <c r="R230" i="40"/>
  <c r="P227" i="50" l="1"/>
  <c r="T227" i="50" s="1"/>
  <c r="O228" i="50"/>
  <c r="S228" i="50"/>
  <c r="P232" i="40"/>
  <c r="O232" i="40" s="1"/>
  <c r="T232" i="40" s="1"/>
  <c r="U231" i="40"/>
  <c r="R231" i="40"/>
  <c r="P228" i="50" l="1"/>
  <c r="T228" i="50" s="1"/>
  <c r="O229" i="50"/>
  <c r="S229" i="50"/>
  <c r="Q232" i="40"/>
  <c r="U232" i="40" s="1"/>
  <c r="P233" i="40"/>
  <c r="O233" i="40" s="1"/>
  <c r="T233" i="40" s="1"/>
  <c r="R232" i="40"/>
  <c r="P229" i="50" l="1"/>
  <c r="T229" i="50" s="1"/>
  <c r="O230" i="50"/>
  <c r="S230" i="50"/>
  <c r="Q233" i="40"/>
  <c r="U233" i="40" s="1"/>
  <c r="P234" i="40"/>
  <c r="O234" i="40" s="1"/>
  <c r="T234" i="40" s="1"/>
  <c r="P235" i="40" s="1"/>
  <c r="O235" i="40" s="1"/>
  <c r="T235" i="40" s="1"/>
  <c r="R233" i="40"/>
  <c r="P230" i="50" l="1"/>
  <c r="T230" i="50" s="1"/>
  <c r="O231" i="50"/>
  <c r="S231" i="50"/>
  <c r="Q234" i="40"/>
  <c r="U234" i="40" s="1"/>
  <c r="R234" i="40"/>
  <c r="Q235" i="40"/>
  <c r="U235" i="40" s="1"/>
  <c r="P236" i="40"/>
  <c r="O236" i="40" s="1"/>
  <c r="P231" i="50" l="1"/>
  <c r="O232" i="50"/>
  <c r="S232" i="50"/>
  <c r="T236" i="40"/>
  <c r="Q236" i="40" s="1"/>
  <c r="U236" i="40" s="1"/>
  <c r="R235" i="40"/>
  <c r="P232" i="50" l="1"/>
  <c r="T232" i="50" s="1"/>
  <c r="O233" i="50"/>
  <c r="S233" i="50"/>
  <c r="T231" i="50"/>
  <c r="K22" i="50"/>
  <c r="P237" i="40"/>
  <c r="O237" i="40" s="1"/>
  <c r="T237" i="40" s="1"/>
  <c r="Q237" i="40" s="1"/>
  <c r="U237" i="40" s="1"/>
  <c r="R236" i="40"/>
  <c r="P233" i="50" l="1"/>
  <c r="T233" i="50" s="1"/>
  <c r="O234" i="50"/>
  <c r="S234" i="50"/>
  <c r="P238" i="40"/>
  <c r="O238" i="40" s="1"/>
  <c r="T238" i="40" s="1"/>
  <c r="P239" i="40" s="1"/>
  <c r="O239" i="40" s="1"/>
  <c r="R237" i="40"/>
  <c r="P234" i="50" l="1"/>
  <c r="T234" i="50" s="1"/>
  <c r="O235" i="50"/>
  <c r="S235" i="50"/>
  <c r="Q238" i="40"/>
  <c r="U238" i="40" s="1"/>
  <c r="T239" i="40"/>
  <c r="Q239" i="40" s="1"/>
  <c r="U239" i="40" s="1"/>
  <c r="R238" i="40"/>
  <c r="P240" i="40" l="1"/>
  <c r="O240" i="40" s="1"/>
  <c r="T240" i="40" s="1"/>
  <c r="Q240" i="40" s="1"/>
  <c r="U240" i="40" s="1"/>
  <c r="P235" i="50"/>
  <c r="T235" i="50" s="1"/>
  <c r="O236" i="50"/>
  <c r="S236" i="50"/>
  <c r="R239" i="40"/>
  <c r="P241" i="40" l="1"/>
  <c r="O241" i="40" s="1"/>
  <c r="T241" i="40" s="1"/>
  <c r="Q241" i="40" s="1"/>
  <c r="U241" i="40" s="1"/>
  <c r="P236" i="50"/>
  <c r="T236" i="50" s="1"/>
  <c r="O237" i="50"/>
  <c r="S237" i="50"/>
  <c r="R240" i="40"/>
  <c r="P237" i="50" l="1"/>
  <c r="T237" i="50" s="1"/>
  <c r="O238" i="50"/>
  <c r="S238" i="50"/>
  <c r="P242" i="40"/>
  <c r="O242" i="40" s="1"/>
  <c r="T242" i="40" s="1"/>
  <c r="P243" i="40" s="1"/>
  <c r="O243" i="40" s="1"/>
  <c r="R241" i="40"/>
  <c r="P238" i="50" l="1"/>
  <c r="T238" i="50" s="1"/>
  <c r="O239" i="50"/>
  <c r="S239" i="50"/>
  <c r="Q242" i="40"/>
  <c r="U242" i="40" s="1"/>
  <c r="T243" i="40"/>
  <c r="Q243" i="40" s="1"/>
  <c r="R242" i="40"/>
  <c r="P239" i="50" l="1"/>
  <c r="T239" i="50" s="1"/>
  <c r="O240" i="50"/>
  <c r="S240" i="50"/>
  <c r="U243" i="40"/>
  <c r="R243" i="40"/>
  <c r="P240" i="50" l="1"/>
  <c r="T240" i="50" s="1"/>
  <c r="O241" i="50"/>
  <c r="S241" i="50"/>
  <c r="P241" i="50" l="1"/>
  <c r="T241" i="50" s="1"/>
  <c r="O242" i="50"/>
  <c r="S242" i="50"/>
  <c r="P242" i="50" l="1"/>
  <c r="T242" i="50" s="1"/>
  <c r="O243" i="50"/>
  <c r="S243" i="50"/>
  <c r="P243" i="50" s="1"/>
  <c r="T243" i="50" l="1"/>
  <c r="K23" i="50"/>
  <c r="V22" i="50" s="1"/>
  <c r="B4" i="40" l="1"/>
  <c r="B5" i="40" s="1"/>
  <c r="B6" i="40" s="1"/>
  <c r="B7" i="40" s="1"/>
  <c r="B8" i="40" s="1"/>
  <c r="B9" i="40" s="1"/>
  <c r="B10" i="40" s="1"/>
  <c r="B11" i="40" s="1"/>
  <c r="B12" i="40" s="1"/>
  <c r="B13" i="40" s="1"/>
  <c r="B14" i="40" s="1"/>
  <c r="B15" i="40" s="1"/>
  <c r="B16" i="40" s="1"/>
  <c r="B17" i="40" s="1"/>
  <c r="B18" i="40" s="1"/>
  <c r="B19" i="40" s="1"/>
  <c r="B20" i="40" s="1"/>
  <c r="B21" i="40" s="1"/>
  <c r="B22" i="40" s="1"/>
  <c r="B23" i="40" s="1"/>
  <c r="C4" i="40" l="1"/>
  <c r="D4" i="40"/>
  <c r="D5" i="40"/>
  <c r="C5" i="40"/>
  <c r="E4" i="40" l="1"/>
  <c r="F4" i="40"/>
  <c r="G4" i="40" s="1"/>
  <c r="D6" i="40"/>
  <c r="C6" i="40"/>
  <c r="E5" i="40"/>
  <c r="F5" i="40"/>
  <c r="G5" i="40" s="1"/>
  <c r="K5" i="40" s="1"/>
  <c r="L5" i="40" l="1"/>
  <c r="L4" i="40"/>
  <c r="K4" i="40"/>
  <c r="H4" i="40"/>
  <c r="I4" i="40"/>
  <c r="W20" i="40" s="1"/>
  <c r="H5" i="40"/>
  <c r="I5" i="40"/>
  <c r="E6" i="40"/>
  <c r="F6" i="40"/>
  <c r="G6" i="40" s="1"/>
  <c r="K6" i="40" s="1"/>
  <c r="D7" i="40"/>
  <c r="C7" i="40"/>
  <c r="L6" i="40" l="1"/>
  <c r="W19" i="40"/>
  <c r="H6" i="40"/>
  <c r="I6" i="40"/>
  <c r="E7" i="40"/>
  <c r="F7" i="40"/>
  <c r="G7" i="40" s="1"/>
  <c r="L7" i="40" s="1"/>
  <c r="C8" i="40"/>
  <c r="D8" i="40"/>
  <c r="H7" i="40" l="1"/>
  <c r="K7" i="40"/>
  <c r="F8" i="40"/>
  <c r="G8" i="40" s="1"/>
  <c r="L8" i="40" s="1"/>
  <c r="E8" i="40"/>
  <c r="C9" i="40"/>
  <c r="D9" i="40"/>
  <c r="I7" i="40"/>
  <c r="K8" i="40" l="1"/>
  <c r="H8" i="40"/>
  <c r="I8" i="40"/>
  <c r="D10" i="40"/>
  <c r="C10" i="40"/>
  <c r="E9" i="40"/>
  <c r="F9" i="40"/>
  <c r="G9" i="40" s="1"/>
  <c r="K9" i="40" l="1"/>
  <c r="H9" i="40"/>
  <c r="L9" i="40"/>
  <c r="I9" i="40"/>
  <c r="F10" i="40"/>
  <c r="G10" i="40" s="1"/>
  <c r="K10" i="40" s="1"/>
  <c r="E10" i="40"/>
  <c r="C11" i="40"/>
  <c r="D11" i="40"/>
  <c r="L10" i="40" l="1"/>
  <c r="H10" i="40"/>
  <c r="I10" i="40"/>
  <c r="D12" i="40"/>
  <c r="C12" i="40"/>
  <c r="E11" i="40"/>
  <c r="F11" i="40"/>
  <c r="G11" i="40" s="1"/>
  <c r="K11" i="40" l="1"/>
  <c r="L11" i="40"/>
  <c r="H11" i="40"/>
  <c r="E12" i="40"/>
  <c r="F12" i="40"/>
  <c r="G12" i="40" s="1"/>
  <c r="C13" i="40"/>
  <c r="D13" i="40"/>
  <c r="I11" i="40"/>
  <c r="K12" i="40" l="1"/>
  <c r="L12" i="40"/>
  <c r="H12" i="40"/>
  <c r="D14" i="40"/>
  <c r="C14" i="40"/>
  <c r="F13" i="40"/>
  <c r="G13" i="40" s="1"/>
  <c r="K13" i="40" s="1"/>
  <c r="E13" i="40"/>
  <c r="I12" i="40"/>
  <c r="L13" i="40" l="1"/>
  <c r="H13" i="40"/>
  <c r="F14" i="40"/>
  <c r="G14" i="40" s="1"/>
  <c r="E14" i="40"/>
  <c r="C15" i="40"/>
  <c r="D15" i="40"/>
  <c r="I13" i="40"/>
  <c r="K14" i="40" l="1"/>
  <c r="L14" i="40"/>
  <c r="H14" i="40"/>
  <c r="D16" i="40"/>
  <c r="C16" i="40"/>
  <c r="F15" i="40"/>
  <c r="G15" i="40" s="1"/>
  <c r="E15" i="40"/>
  <c r="I14" i="40"/>
  <c r="K15" i="40" l="1"/>
  <c r="L15" i="40"/>
  <c r="H15" i="40"/>
  <c r="F16" i="40"/>
  <c r="G16" i="40" s="1"/>
  <c r="E16" i="40"/>
  <c r="C17" i="40"/>
  <c r="D17" i="40"/>
  <c r="I15" i="40"/>
  <c r="K16" i="40" l="1"/>
  <c r="L16" i="40"/>
  <c r="D18" i="40"/>
  <c r="C18" i="40"/>
  <c r="F17" i="40"/>
  <c r="G17" i="40" s="1"/>
  <c r="E17" i="40"/>
  <c r="H16" i="40"/>
  <c r="I16" i="40"/>
  <c r="K17" i="40" l="1"/>
  <c r="L17" i="40"/>
  <c r="H17" i="40"/>
  <c r="E18" i="40"/>
  <c r="F18" i="40"/>
  <c r="G18" i="40" s="1"/>
  <c r="C19" i="40"/>
  <c r="D19" i="40"/>
  <c r="I17" i="40"/>
  <c r="K18" i="40" l="1"/>
  <c r="L18" i="40"/>
  <c r="H18" i="40"/>
  <c r="D20" i="40"/>
  <c r="C20" i="40"/>
  <c r="F19" i="40"/>
  <c r="G19" i="40" s="1"/>
  <c r="E19" i="40"/>
  <c r="I18" i="40"/>
  <c r="K19" i="40" l="1"/>
  <c r="L19" i="40"/>
  <c r="D21" i="40"/>
  <c r="C21" i="40"/>
  <c r="H19" i="40"/>
  <c r="E20" i="40"/>
  <c r="F20" i="40"/>
  <c r="G20" i="40" s="1"/>
  <c r="I19" i="40"/>
  <c r="K20" i="40" l="1"/>
  <c r="L20" i="40"/>
  <c r="H20" i="40"/>
  <c r="F21" i="40"/>
  <c r="G21" i="40" s="1"/>
  <c r="E21" i="40"/>
  <c r="D22" i="40"/>
  <c r="C22" i="40"/>
  <c r="I20" i="40"/>
  <c r="K21" i="40" l="1"/>
  <c r="L21" i="40"/>
  <c r="D23" i="40"/>
  <c r="C23" i="40"/>
  <c r="F22" i="40"/>
  <c r="G22" i="40" s="1"/>
  <c r="E22" i="40"/>
  <c r="H21" i="40"/>
  <c r="I21" i="40"/>
  <c r="K22" i="40" l="1"/>
  <c r="L22" i="40"/>
  <c r="I22" i="40"/>
  <c r="H22" i="40"/>
  <c r="F23" i="40"/>
  <c r="G23" i="40" s="1"/>
  <c r="E23" i="40"/>
  <c r="K23" i="40" l="1"/>
  <c r="L23" i="40"/>
  <c r="W22" i="40" s="1"/>
  <c r="H23" i="40"/>
  <c r="I23" i="40"/>
  <c r="W21" i="40" s="1"/>
</calcChain>
</file>

<file path=xl/sharedStrings.xml><?xml version="1.0" encoding="utf-8"?>
<sst xmlns="http://schemas.openxmlformats.org/spreadsheetml/2006/main" count="427" uniqueCount="286">
  <si>
    <t>발전설비용량 (kW)</t>
    <phoneticPr fontId="4" type="noConversion"/>
  </si>
  <si>
    <t>2년</t>
  </si>
  <si>
    <t>3년</t>
  </si>
  <si>
    <t>4년</t>
  </si>
  <si>
    <t>5년</t>
  </si>
  <si>
    <t>6년</t>
  </si>
  <si>
    <t>7년</t>
  </si>
  <si>
    <t>8년</t>
  </si>
  <si>
    <t>9년</t>
  </si>
  <si>
    <t>10년</t>
  </si>
  <si>
    <r>
      <rPr>
        <sz val="12"/>
        <color rgb="FFFF0000"/>
        <rFont val="맑은 고딕"/>
        <family val="3"/>
        <charset val="129"/>
      </rPr>
      <t>◆</t>
    </r>
    <r>
      <rPr>
        <sz val="12"/>
        <color rgb="FFFF0000"/>
        <rFont val="맑은 고딕"/>
        <family val="3"/>
        <charset val="129"/>
        <scheme val="minor"/>
      </rPr>
      <t>총 사업비</t>
    </r>
    <r>
      <rPr>
        <sz val="12"/>
        <color rgb="FFFF0000"/>
        <rFont val="맑은 고딕"/>
        <family val="3"/>
        <charset val="129"/>
      </rPr>
      <t>◆</t>
    </r>
    <phoneticPr fontId="4" type="noConversion"/>
  </si>
  <si>
    <t>11년</t>
  </si>
  <si>
    <t>12년</t>
  </si>
  <si>
    <t>13년</t>
  </si>
  <si>
    <t>14년</t>
  </si>
  <si>
    <t>15년</t>
  </si>
  <si>
    <t>16년</t>
  </si>
  <si>
    <t>ROI (투자자본수익률)</t>
    <phoneticPr fontId="4" type="noConversion"/>
  </si>
  <si>
    <t>17년</t>
  </si>
  <si>
    <t>18년</t>
  </si>
  <si>
    <t>손익분기점 (년)</t>
    <phoneticPr fontId="4" type="noConversion"/>
  </si>
  <si>
    <t>19년</t>
  </si>
  <si>
    <t>20년</t>
  </si>
  <si>
    <t>구분</t>
    <phoneticPr fontId="4" type="noConversion"/>
  </si>
  <si>
    <t>설비용량</t>
    <phoneticPr fontId="4" type="noConversion"/>
  </si>
  <si>
    <t>발전시간</t>
    <phoneticPr fontId="4" type="noConversion"/>
  </si>
  <si>
    <t>SMP</t>
    <phoneticPr fontId="4" type="noConversion"/>
  </si>
  <si>
    <t>REC</t>
    <phoneticPr fontId="4" type="noConversion"/>
  </si>
  <si>
    <t>가중치</t>
    <phoneticPr fontId="4" type="noConversion"/>
  </si>
  <si>
    <t>발전시간 (일간 평균)</t>
    <phoneticPr fontId="4" type="noConversion"/>
  </si>
  <si>
    <t>한전전력매전금액 (SMP)</t>
    <phoneticPr fontId="4" type="noConversion"/>
  </si>
  <si>
    <t>공급인증서 (REC)</t>
    <phoneticPr fontId="4" type="noConversion"/>
  </si>
  <si>
    <r>
      <t>가중치</t>
    </r>
    <r>
      <rPr>
        <sz val="9"/>
        <color theme="4" tint="-0.499984740745262"/>
        <rFont val="맑은 고딕"/>
        <family val="3"/>
        <charset val="129"/>
        <scheme val="minor"/>
      </rPr>
      <t/>
    </r>
    <phoneticPr fontId="4" type="noConversion"/>
  </si>
  <si>
    <t>1년</t>
    <phoneticPr fontId="4" type="noConversion"/>
  </si>
  <si>
    <t xml:space="preserve"> 대출액</t>
    <phoneticPr fontId="4" type="noConversion"/>
  </si>
  <si>
    <t xml:space="preserve"> 년이율 (%)</t>
    <phoneticPr fontId="4" type="noConversion"/>
  </si>
  <si>
    <t>연이자(기간동안)</t>
    <phoneticPr fontId="4" type="noConversion"/>
  </si>
  <si>
    <t xml:space="preserve"> 연이자</t>
    <phoneticPr fontId="4" type="noConversion"/>
  </si>
  <si>
    <t>상환액+연이자</t>
    <phoneticPr fontId="4" type="noConversion"/>
  </si>
  <si>
    <t>20년 총수익 (無대출)</t>
    <phoneticPr fontId="4" type="noConversion"/>
  </si>
  <si>
    <t>20년 총수익 (대출적용)</t>
    <phoneticPr fontId="4" type="noConversion"/>
  </si>
  <si>
    <r>
      <rPr>
        <b/>
        <sz val="14"/>
        <color theme="1"/>
        <rFont val="굴림"/>
        <family val="3"/>
        <charset val="129"/>
      </rPr>
      <t>♦</t>
    </r>
    <r>
      <rPr>
        <b/>
        <sz val="14"/>
        <color theme="1"/>
        <rFont val="맑은 고딕"/>
        <family val="2"/>
        <charset val="129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 xml:space="preserve">태양광 설치비용 </t>
    </r>
    <r>
      <rPr>
        <b/>
        <sz val="14"/>
        <color theme="1"/>
        <rFont val="굴림"/>
        <family val="3"/>
        <charset val="129"/>
      </rPr>
      <t>♦</t>
    </r>
    <phoneticPr fontId="4" type="noConversion"/>
  </si>
  <si>
    <t>♦ 태양광 대출비용 ♦</t>
    <phoneticPr fontId="4" type="noConversion"/>
  </si>
  <si>
    <t>♦ 태양광 최종수익 ♦</t>
    <phoneticPr fontId="4" type="noConversion"/>
  </si>
  <si>
    <t>상환기간</t>
    <phoneticPr fontId="4" type="noConversion"/>
  </si>
  <si>
    <t>상환+거치</t>
    <phoneticPr fontId="4" type="noConversion"/>
  </si>
  <si>
    <t>거치기간</t>
    <phoneticPr fontId="4" type="noConversion"/>
  </si>
  <si>
    <t>기타추가비용
(ex.한전선로비)</t>
    <phoneticPr fontId="4" type="noConversion"/>
  </si>
  <si>
    <t xml:space="preserve">한국전력 
매전금액수익
(SMP) </t>
    <phoneticPr fontId="4" type="noConversion"/>
  </si>
  <si>
    <t>총수익
(SMP+REC)</t>
    <phoneticPr fontId="4" type="noConversion"/>
  </si>
  <si>
    <t xml:space="preserve"> 유지보수비용 
  (年매출의 3%)</t>
    <phoneticPr fontId="4" type="noConversion"/>
  </si>
  <si>
    <t>총수익(SMP+REC) 
 - 유지보수비용</t>
    <phoneticPr fontId="4" type="noConversion"/>
  </si>
  <si>
    <r>
      <t xml:space="preserve">누적수익(年)
</t>
    </r>
    <r>
      <rPr>
        <b/>
        <sz val="10"/>
        <color rgb="FFFF0000"/>
        <rFont val="맑은 고딕"/>
        <family val="3"/>
        <charset val="129"/>
        <scheme val="minor"/>
      </rPr>
      <t>(=수익-대출액-이자)</t>
    </r>
    <phoneticPr fontId="4" type="noConversion"/>
  </si>
  <si>
    <t xml:space="preserve">  공급인증서
수익
(REC)</t>
    <phoneticPr fontId="4" type="noConversion"/>
  </si>
  <si>
    <t>대출일자</t>
    <phoneticPr fontId="4" type="noConversion"/>
  </si>
  <si>
    <t>월상환액</t>
    <phoneticPr fontId="4" type="noConversion"/>
  </si>
  <si>
    <t>상환일자</t>
    <phoneticPr fontId="4" type="noConversion"/>
  </si>
  <si>
    <t>대출원금잔액</t>
    <phoneticPr fontId="4" type="noConversion"/>
  </si>
  <si>
    <t>이자상환액</t>
    <phoneticPr fontId="4" type="noConversion"/>
  </si>
  <si>
    <t>원금상환액</t>
    <phoneticPr fontId="4" type="noConversion"/>
  </si>
  <si>
    <t>원상환액
(기간동안)</t>
    <phoneticPr fontId="4" type="noConversion"/>
  </si>
  <si>
    <t>연간 발전량
(kW)
((양면+10%))</t>
    <phoneticPr fontId="4" type="noConversion"/>
  </si>
  <si>
    <t>태양광발전사업 세부내용
&lt;&lt;  양면모듈  &gt;&gt;</t>
    <phoneticPr fontId="4" type="noConversion"/>
  </si>
  <si>
    <t>100kW ↓</t>
    <phoneticPr fontId="4" type="noConversion"/>
  </si>
  <si>
    <t>100~500</t>
    <phoneticPr fontId="4" type="noConversion"/>
  </si>
  <si>
    <t>500~1000</t>
    <phoneticPr fontId="4" type="noConversion"/>
  </si>
  <si>
    <t>통합</t>
    <phoneticPr fontId="4" type="noConversion"/>
  </si>
  <si>
    <r>
      <t xml:space="preserve">평균예상수익(月)
</t>
    </r>
    <r>
      <rPr>
        <b/>
        <sz val="10"/>
        <color rgb="FFFF0000"/>
        <rFont val="맑은 고딕"/>
        <family val="3"/>
        <charset val="129"/>
        <scheme val="minor"/>
      </rPr>
      <t>(=수익-대출액-이자)</t>
    </r>
    <phoneticPr fontId="4" type="noConversion"/>
  </si>
  <si>
    <r>
      <t xml:space="preserve">누적수익(年)
</t>
    </r>
    <r>
      <rPr>
        <b/>
        <sz val="10"/>
        <color rgb="FFFF0000"/>
        <rFont val="맑은 고딕"/>
        <family val="3"/>
        <charset val="129"/>
        <scheme val="minor"/>
      </rPr>
      <t>(=수익-유지보수)</t>
    </r>
    <phoneticPr fontId="4" type="noConversion"/>
  </si>
  <si>
    <r>
      <t xml:space="preserve"> 평균예상수익(月)
</t>
    </r>
    <r>
      <rPr>
        <b/>
        <sz val="10"/>
        <color rgb="FFFF0000"/>
        <rFont val="맑은 고딕"/>
        <family val="3"/>
        <charset val="129"/>
        <scheme val="minor"/>
      </rPr>
      <t>(=총수익/12개월)</t>
    </r>
    <phoneticPr fontId="4" type="noConversion"/>
  </si>
  <si>
    <t>공사금액</t>
    <phoneticPr fontId="4" type="noConversion"/>
  </si>
  <si>
    <t>부가세</t>
    <phoneticPr fontId="4" type="noConversion"/>
  </si>
  <si>
    <t>견        적        서</t>
    <phoneticPr fontId="4" type="noConversion"/>
  </si>
  <si>
    <t>귀하</t>
    <phoneticPr fontId="4" type="noConversion"/>
  </si>
  <si>
    <t>공 사 명 : 태양광설치 공사</t>
    <phoneticPr fontId="4" type="noConversion"/>
  </si>
  <si>
    <t>하기와 같이 견적합니다.</t>
    <phoneticPr fontId="4" type="noConversion"/>
  </si>
  <si>
    <t xml:space="preserve">견적송부일 : </t>
    <phoneticPr fontId="4" type="noConversion"/>
  </si>
  <si>
    <t>(금액단위:원/VAT별도)</t>
    <phoneticPr fontId="4" type="noConversion"/>
  </si>
  <si>
    <t>기호</t>
    <phoneticPr fontId="4" type="noConversion"/>
  </si>
  <si>
    <t>품 명</t>
    <phoneticPr fontId="4" type="noConversion"/>
  </si>
  <si>
    <t>규 격</t>
    <phoneticPr fontId="4" type="noConversion"/>
  </si>
  <si>
    <t>단 위</t>
    <phoneticPr fontId="4" type="noConversion"/>
  </si>
  <si>
    <t>수 량</t>
    <phoneticPr fontId="4" type="noConversion"/>
  </si>
  <si>
    <t>단 가</t>
    <phoneticPr fontId="4" type="noConversion"/>
  </si>
  <si>
    <t>금  액</t>
    <phoneticPr fontId="4" type="noConversion"/>
  </si>
  <si>
    <t>비  고</t>
    <phoneticPr fontId="4" type="noConversion"/>
  </si>
  <si>
    <t>현대 60KW</t>
    <phoneticPr fontId="4" type="noConversion"/>
  </si>
  <si>
    <t>* 견적조건</t>
    <phoneticPr fontId="4" type="noConversion"/>
  </si>
  <si>
    <t>1. VAT별도</t>
    <phoneticPr fontId="4" type="noConversion"/>
  </si>
  <si>
    <t>2. 모듈 :  제조사 보증서 제출</t>
    <phoneticPr fontId="4" type="noConversion"/>
  </si>
  <si>
    <t>3. 인버터 :  제조사 보증서 제출</t>
    <phoneticPr fontId="4" type="noConversion"/>
  </si>
  <si>
    <t>4. 한전연계비용 별도 (표준시설부담금)</t>
    <phoneticPr fontId="4" type="noConversion"/>
  </si>
  <si>
    <t>5. 안전관리자 선임 별도</t>
    <phoneticPr fontId="4" type="noConversion"/>
  </si>
  <si>
    <t>6. 보강 발생 시 비용 별도 ( 실비처리 )</t>
    <phoneticPr fontId="4" type="noConversion"/>
  </si>
  <si>
    <t xml:space="preserve">kw단가 </t>
    <phoneticPr fontId="4" type="noConversion"/>
  </si>
  <si>
    <t>대출액</t>
    <phoneticPr fontId="4" type="noConversion"/>
  </si>
  <si>
    <t>태양광 발전소 공사</t>
    <phoneticPr fontId="4" type="noConversion"/>
  </si>
  <si>
    <t>사업주</t>
    <phoneticPr fontId="4" type="noConversion"/>
  </si>
  <si>
    <t>삭제금지</t>
    <phoneticPr fontId="4" type="noConversion"/>
  </si>
  <si>
    <t>진코</t>
    <phoneticPr fontId="4" type="noConversion"/>
  </si>
  <si>
    <t>&lt;=입력</t>
    <phoneticPr fontId="4" type="noConversion"/>
  </si>
  <si>
    <t>한화</t>
    <phoneticPr fontId="4" type="noConversion"/>
  </si>
  <si>
    <t>한화 600W 무등급 양면모듈</t>
    <phoneticPr fontId="4" type="noConversion"/>
  </si>
  <si>
    <t>진코 620W 무등급 양면모듈</t>
    <phoneticPr fontId="4" type="noConversion"/>
  </si>
  <si>
    <t>한화, 진코 들 중 하나만 입력</t>
    <phoneticPr fontId="4" type="noConversion"/>
  </si>
  <si>
    <t>현 장 명 :  경북 영천시 청통면 죽정리 576</t>
    <phoneticPr fontId="4" type="noConversion"/>
  </si>
  <si>
    <t>진코</t>
    <phoneticPr fontId="4" type="noConversion"/>
  </si>
  <si>
    <t>삭제금지</t>
    <phoneticPr fontId="4" type="noConversion"/>
  </si>
  <si>
    <r>
      <t xml:space="preserve"># 이 수지분석은 2024년 현물시장 기준 수익분석 자료입니다.
</t>
    </r>
    <r>
      <rPr>
        <b/>
        <sz val="11"/>
        <color rgb="FFFF0000"/>
        <rFont val="맑은 고딕"/>
        <family val="3"/>
        <charset val="129"/>
        <scheme val="minor"/>
      </rPr>
      <t xml:space="preserve"># 선로 개통비 , 구조 보강비 별도 / 순 공사비 기준 수익분석 자료 입니다. </t>
    </r>
    <phoneticPr fontId="4" type="noConversion"/>
  </si>
  <si>
    <t>│주│솔 라 엘 디  (인)</t>
    <phoneticPr fontId="4" type="noConversion"/>
  </si>
  <si>
    <t>◈주  소:   대구광역시 동구 메디밸리로19 401호</t>
    <phoneticPr fontId="4" type="noConversion"/>
  </si>
  <si>
    <t>F A X :  (0 5 3) 2 8 9 - 6 6 9 8</t>
    <phoneticPr fontId="4" type="noConversion"/>
  </si>
  <si>
    <t>전 화 :  (0 5 3) 8 5 6 - 9 6 9 8</t>
    <phoneticPr fontId="4" type="noConversion"/>
  </si>
  <si>
    <t>공 사 명 : 태양광설치 공사</t>
    <phoneticPr fontId="4" type="noConversion"/>
  </si>
  <si>
    <t>현 장 명 :  경상북도 경주시 강동면 인동리75번지, 단구리 1259</t>
    <phoneticPr fontId="4" type="noConversion"/>
  </si>
  <si>
    <t>현대 60kw</t>
    <phoneticPr fontId="4" type="noConversion"/>
  </si>
  <si>
    <t>( 금액단위 : 원 )</t>
    <phoneticPr fontId="4" type="noConversion"/>
  </si>
  <si>
    <t>항목</t>
    <phoneticPr fontId="4" type="noConversion"/>
  </si>
  <si>
    <t>용량</t>
    <phoneticPr fontId="4" type="noConversion"/>
  </si>
  <si>
    <t>수량</t>
    <phoneticPr fontId="4" type="noConversion"/>
  </si>
  <si>
    <t>단가</t>
    <phoneticPr fontId="4" type="noConversion"/>
  </si>
  <si>
    <t>합계</t>
    <phoneticPr fontId="4" type="noConversion"/>
  </si>
  <si>
    <t>비고</t>
    <phoneticPr fontId="4" type="noConversion"/>
  </si>
  <si>
    <t>시설공사</t>
    <phoneticPr fontId="4" type="noConversion"/>
  </si>
  <si>
    <t>원자재</t>
    <phoneticPr fontId="4" type="noConversion"/>
  </si>
  <si>
    <t xml:space="preserve">인버터  ( 현대 60kw  ) </t>
    <phoneticPr fontId="4" type="noConversion"/>
  </si>
  <si>
    <t>구조물가공 및 제작</t>
    <phoneticPr fontId="4" type="noConversion"/>
  </si>
  <si>
    <t>포스맥</t>
    <phoneticPr fontId="4" type="noConversion"/>
  </si>
  <si>
    <t>볼트류외 부자재</t>
    <phoneticPr fontId="4" type="noConversion"/>
  </si>
  <si>
    <t xml:space="preserve">분전반 </t>
    <phoneticPr fontId="4" type="noConversion"/>
  </si>
  <si>
    <t>현장 설치</t>
    <phoneticPr fontId="4" type="noConversion"/>
  </si>
  <si>
    <t>구조물설치 ( 모듈설치 및 장비포함 )</t>
    <phoneticPr fontId="4" type="noConversion"/>
  </si>
  <si>
    <t>전기 공사</t>
    <phoneticPr fontId="4" type="noConversion"/>
  </si>
  <si>
    <t>전기자재구입 ( 난연케이블 및 Tray 외 기타전기자재 )</t>
    <phoneticPr fontId="4" type="noConversion"/>
  </si>
  <si>
    <t>전기공사</t>
    <phoneticPr fontId="4" type="noConversion"/>
  </si>
  <si>
    <t>부대 비용</t>
    <phoneticPr fontId="4" type="noConversion"/>
  </si>
  <si>
    <t>구조설계 및 사용전검사 ( 전기안전공사 )</t>
    <phoneticPr fontId="4" type="noConversion"/>
  </si>
  <si>
    <t>전기설계 및 감리</t>
    <phoneticPr fontId="4" type="noConversion"/>
  </si>
  <si>
    <t>시설 공사 소계</t>
    <phoneticPr fontId="4" type="noConversion"/>
  </si>
  <si>
    <t xml:space="preserve"> 소계</t>
    <phoneticPr fontId="4" type="noConversion"/>
  </si>
  <si>
    <t>특이사항</t>
    <phoneticPr fontId="4" type="noConversion"/>
  </si>
  <si>
    <t xml:space="preserve">2. 모듈 : 제조사 보증서 제출 </t>
    <phoneticPr fontId="4" type="noConversion"/>
  </si>
  <si>
    <t>3. 인버터 : 제조사 보증서 제출</t>
    <phoneticPr fontId="4" type="noConversion"/>
  </si>
  <si>
    <t>4. 한전연계비용 별도, 전기안전관리 및 보안경비 별도</t>
    <phoneticPr fontId="4" type="noConversion"/>
  </si>
  <si>
    <t>시설공사 및 대관비용</t>
    <phoneticPr fontId="4" type="noConversion"/>
  </si>
  <si>
    <t>견 적 서</t>
    <phoneticPr fontId="4" type="noConversion"/>
  </si>
  <si>
    <t>업 체 명</t>
    <phoneticPr fontId="4" type="noConversion"/>
  </si>
  <si>
    <t>견적일자</t>
    <phoneticPr fontId="4" type="noConversion"/>
  </si>
  <si>
    <t>유효기간</t>
    <phoneticPr fontId="4" type="noConversion"/>
  </si>
  <si>
    <t>1개월</t>
    <phoneticPr fontId="4" type="noConversion"/>
  </si>
  <si>
    <t>MAIL주소</t>
    <phoneticPr fontId="4" type="noConversion"/>
  </si>
  <si>
    <t>아래와 같이 견적합니다.</t>
    <phoneticPr fontId="4" type="noConversion"/>
  </si>
  <si>
    <t>내 용</t>
    <phoneticPr fontId="4" type="noConversion"/>
  </si>
  <si>
    <t>설치용량</t>
    <phoneticPr fontId="4" type="noConversion"/>
  </si>
  <si>
    <t>설지형태</t>
    <phoneticPr fontId="4" type="noConversion"/>
  </si>
  <si>
    <t>공장 지붕형(고정형)</t>
    <phoneticPr fontId="4" type="noConversion"/>
  </si>
  <si>
    <t>금 액</t>
    <phoneticPr fontId="4" type="noConversion"/>
  </si>
  <si>
    <t>견적금액</t>
    <phoneticPr fontId="4" type="noConversion"/>
  </si>
  <si>
    <t>원정</t>
    <phoneticPr fontId="4" type="noConversion"/>
  </si>
  <si>
    <t>구분</t>
    <phoneticPr fontId="4" type="noConversion"/>
  </si>
  <si>
    <t>품목</t>
    <phoneticPr fontId="4" type="noConversion"/>
  </si>
  <si>
    <t>규 격</t>
    <phoneticPr fontId="4" type="noConversion"/>
  </si>
  <si>
    <t>내 용</t>
    <phoneticPr fontId="4" type="noConversion"/>
  </si>
  <si>
    <t>단위</t>
    <phoneticPr fontId="4" type="noConversion"/>
  </si>
  <si>
    <t>수 량</t>
    <phoneticPr fontId="4" type="noConversion"/>
  </si>
  <si>
    <t>단 가</t>
    <phoneticPr fontId="4" type="noConversion"/>
  </si>
  <si>
    <t>금 액</t>
    <phoneticPr fontId="4" type="noConversion"/>
  </si>
  <si>
    <t>비 고</t>
    <phoneticPr fontId="4" type="noConversion"/>
  </si>
  <si>
    <t>자  재</t>
    <phoneticPr fontId="4" type="noConversion"/>
  </si>
  <si>
    <t>모듈</t>
    <phoneticPr fontId="4" type="noConversion"/>
  </si>
  <si>
    <t>모델명</t>
    <phoneticPr fontId="4" type="noConversion"/>
  </si>
  <si>
    <t>EA</t>
    <phoneticPr fontId="4" type="noConversion"/>
  </si>
  <si>
    <t>모듈:550wp</t>
    <phoneticPr fontId="4" type="noConversion"/>
  </si>
  <si>
    <t>제조사</t>
    <phoneticPr fontId="4" type="noConversion"/>
  </si>
  <si>
    <t>CELL종류</t>
    <phoneticPr fontId="4" type="noConversion"/>
  </si>
  <si>
    <t>정격출력</t>
    <phoneticPr fontId="4" type="noConversion"/>
  </si>
  <si>
    <t>제품보증</t>
    <phoneticPr fontId="4" type="noConversion"/>
  </si>
  <si>
    <t>출력보증</t>
    <phoneticPr fontId="4" type="noConversion"/>
  </si>
  <si>
    <t>인버터</t>
    <phoneticPr fontId="4" type="noConversion"/>
  </si>
  <si>
    <t>EA</t>
    <phoneticPr fontId="4" type="noConversion"/>
  </si>
  <si>
    <t>스트링/접속반내장형/</t>
    <phoneticPr fontId="4" type="noConversion"/>
  </si>
  <si>
    <t>유로효율</t>
    <phoneticPr fontId="4" type="noConversion"/>
  </si>
  <si>
    <t>제조사</t>
    <phoneticPr fontId="4" type="noConversion"/>
  </si>
  <si>
    <t>상수</t>
    <phoneticPr fontId="4" type="noConversion"/>
  </si>
  <si>
    <t>토플로지</t>
    <phoneticPr fontId="4" type="noConversion"/>
  </si>
  <si>
    <t>구조물</t>
    <phoneticPr fontId="4" type="noConversion"/>
  </si>
  <si>
    <t>설비형태</t>
    <phoneticPr fontId="4" type="noConversion"/>
  </si>
  <si>
    <t>슬라브/경사형지붕</t>
    <phoneticPr fontId="4" type="noConversion"/>
  </si>
  <si>
    <t>포스멕/용융/알루미늄</t>
    <phoneticPr fontId="4" type="noConversion"/>
  </si>
  <si>
    <t>구조물</t>
    <phoneticPr fontId="4" type="noConversion"/>
  </si>
  <si>
    <t>포스멕/용융/알루미늄</t>
    <phoneticPr fontId="4" type="noConversion"/>
  </si>
  <si>
    <t>규격</t>
    <phoneticPr fontId="4" type="noConversion"/>
  </si>
  <si>
    <t>접속반</t>
    <phoneticPr fontId="4" type="noConversion"/>
  </si>
  <si>
    <t>분전함</t>
    <phoneticPr fontId="4" type="noConversion"/>
  </si>
  <si>
    <t>수배전반</t>
    <phoneticPr fontId="4" type="noConversion"/>
  </si>
  <si>
    <t>전기자재</t>
    <phoneticPr fontId="4" type="noConversion"/>
  </si>
  <si>
    <t>EA</t>
    <phoneticPr fontId="4" type="noConversion"/>
  </si>
  <si>
    <t>모니터링</t>
    <phoneticPr fontId="4" type="noConversion"/>
  </si>
  <si>
    <t>인버터 내장형</t>
    <phoneticPr fontId="4" type="noConversion"/>
  </si>
  <si>
    <t>CCTV</t>
    <phoneticPr fontId="4" type="noConversion"/>
  </si>
  <si>
    <t>휀스</t>
    <phoneticPr fontId="4" type="noConversion"/>
  </si>
  <si>
    <t>소   계</t>
    <phoneticPr fontId="4" type="noConversion"/>
  </si>
  <si>
    <t>노무비</t>
    <phoneticPr fontId="4" type="noConversion"/>
  </si>
  <si>
    <t>모듈설치</t>
    <phoneticPr fontId="4" type="noConversion"/>
  </si>
  <si>
    <t>노 무 비</t>
    <phoneticPr fontId="4" type="noConversion"/>
  </si>
  <si>
    <t>KW</t>
    <phoneticPr fontId="4" type="noConversion"/>
  </si>
  <si>
    <t>구조물설치</t>
    <phoneticPr fontId="4" type="noConversion"/>
  </si>
  <si>
    <t>노 무 비</t>
    <phoneticPr fontId="4" type="noConversion"/>
  </si>
  <si>
    <t>전기공사</t>
    <phoneticPr fontId="4" type="noConversion"/>
  </si>
  <si>
    <t>노 무 비</t>
    <phoneticPr fontId="4" type="noConversion"/>
  </si>
  <si>
    <t>KW</t>
    <phoneticPr fontId="4" type="noConversion"/>
  </si>
  <si>
    <t>노 무 비</t>
    <phoneticPr fontId="4" type="noConversion"/>
  </si>
  <si>
    <t>간접노무비</t>
    <phoneticPr fontId="4" type="noConversion"/>
  </si>
  <si>
    <t>노 무 비</t>
    <phoneticPr fontId="4" type="noConversion"/>
  </si>
  <si>
    <t>소   계</t>
    <phoneticPr fontId="4" type="noConversion"/>
  </si>
  <si>
    <t>토목
공사</t>
    <phoneticPr fontId="4" type="noConversion"/>
  </si>
  <si>
    <t>기초토목</t>
    <phoneticPr fontId="4" type="noConversion"/>
  </si>
  <si>
    <t>기업이윤</t>
    <phoneticPr fontId="4" type="noConversion"/>
  </si>
  <si>
    <t>설계
심의</t>
    <phoneticPr fontId="4" type="noConversion"/>
  </si>
  <si>
    <t>전기설계,감리비용</t>
    <phoneticPr fontId="4" type="noConversion"/>
  </si>
  <si>
    <t>개발행위허가 및 도시계획 심의</t>
    <phoneticPr fontId="4" type="noConversion"/>
  </si>
  <si>
    <t>구조안전진단</t>
    <phoneticPr fontId="4" type="noConversion"/>
  </si>
  <si>
    <t>인허가
검사</t>
    <phoneticPr fontId="4" type="noConversion"/>
  </si>
  <si>
    <t>인허가 대행</t>
    <phoneticPr fontId="4" type="noConversion"/>
  </si>
  <si>
    <t>정밀안전진단</t>
    <phoneticPr fontId="4" type="noConversion"/>
  </si>
  <si>
    <t>사용전검사</t>
    <phoneticPr fontId="4" type="noConversion"/>
  </si>
  <si>
    <t>한전</t>
    <phoneticPr fontId="4" type="noConversion"/>
  </si>
  <si>
    <t>한전인입공사</t>
    <phoneticPr fontId="4" type="noConversion"/>
  </si>
  <si>
    <t>EA</t>
    <phoneticPr fontId="4" type="noConversion"/>
  </si>
  <si>
    <t>(고객부담용 )</t>
    <phoneticPr fontId="4" type="noConversion"/>
  </si>
  <si>
    <t>기타</t>
    <phoneticPr fontId="4" type="noConversion"/>
  </si>
  <si>
    <t>안전 관리 비용</t>
    <phoneticPr fontId="4" type="noConversion"/>
  </si>
  <si>
    <t>개월</t>
    <phoneticPr fontId="4" type="noConversion"/>
  </si>
  <si>
    <t>월 10만원 가량 예상됨</t>
    <phoneticPr fontId="4" type="noConversion"/>
  </si>
  <si>
    <t>범부비용</t>
    <phoneticPr fontId="4" type="noConversion"/>
  </si>
  <si>
    <t>기업이윤</t>
    <phoneticPr fontId="4" type="noConversion"/>
  </si>
  <si>
    <t>공급인증서 매매계약 보증금</t>
    <phoneticPr fontId="4" type="noConversion"/>
  </si>
  <si>
    <t>변동 LISK 금액 산정</t>
    <phoneticPr fontId="4" type="noConversion"/>
  </si>
  <si>
    <t>농지 전용비</t>
    <phoneticPr fontId="4" type="noConversion"/>
  </si>
  <si>
    <t>개발행위로 인한 각종 제세공과금</t>
    <phoneticPr fontId="4" type="noConversion"/>
  </si>
  <si>
    <t>총 합계 비용</t>
    <phoneticPr fontId="4" type="noConversion"/>
  </si>
  <si>
    <t>합   계</t>
    <phoneticPr fontId="4" type="noConversion"/>
  </si>
  <si>
    <t>합계 -견적제외금액</t>
    <phoneticPr fontId="4" type="noConversion"/>
  </si>
  <si>
    <t>한전 인입비용 제외</t>
    <phoneticPr fontId="4" type="noConversion"/>
  </si>
  <si>
    <t>특기
사항</t>
    <phoneticPr fontId="4" type="noConversion"/>
  </si>
  <si>
    <t>현장 여건 및 프로젝트 상황에 따라 견적금액은 변경될 수 있으며, 항목별 변경금액은 전체 금액에 영향을 미칠 수 없음</t>
    <phoneticPr fontId="4" type="noConversion"/>
  </si>
  <si>
    <t>시공보증 : 하자이행 3년</t>
    <phoneticPr fontId="4" type="noConversion"/>
  </si>
  <si>
    <t>결재조건 : 협의</t>
    <phoneticPr fontId="4" type="noConversion"/>
  </si>
  <si>
    <t>307.39kw</t>
    <phoneticPr fontId="4" type="noConversion"/>
  </si>
  <si>
    <t>삼억칠천만원 정</t>
    <phoneticPr fontId="4" type="noConversion"/>
  </si>
  <si>
    <t>VAT포함</t>
    <phoneticPr fontId="4" type="noConversion"/>
  </si>
  <si>
    <t>현대모듈:590wp</t>
    <phoneticPr fontId="4" type="noConversion"/>
  </si>
  <si>
    <t>156셀</t>
    <phoneticPr fontId="4" type="noConversion"/>
  </si>
  <si>
    <t>현대에너지 솔루션</t>
    <phoneticPr fontId="4" type="noConversion"/>
  </si>
  <si>
    <t>현대 60kw</t>
    <phoneticPr fontId="4" type="noConversion"/>
  </si>
  <si>
    <t>60Kw</t>
    <phoneticPr fontId="4" type="noConversion"/>
  </si>
  <si>
    <t>강동농협 입찰</t>
    <phoneticPr fontId="4" type="noConversion"/>
  </si>
  <si>
    <t>2024.01.24</t>
    <phoneticPr fontId="4" type="noConversion"/>
  </si>
  <si>
    <t>㈜솔라엘디</t>
    <phoneticPr fontId="4" type="noConversion"/>
  </si>
  <si>
    <t>slddettkh@naver.com</t>
    <phoneticPr fontId="4" type="noConversion"/>
  </si>
  <si>
    <t>590kw</t>
    <phoneticPr fontId="4" type="noConversion"/>
  </si>
  <si>
    <t>kw</t>
    <phoneticPr fontId="4" type="noConversion"/>
  </si>
  <si>
    <t>단위절삭: 589,400 포함</t>
    <phoneticPr fontId="4" type="noConversion"/>
  </si>
  <si>
    <t>일반 관리비 ( 회사이윤 및 경비)</t>
    <phoneticPr fontId="4" type="noConversion"/>
  </si>
  <si>
    <t>소계</t>
    <phoneticPr fontId="4" type="noConversion"/>
  </si>
  <si>
    <t>일반</t>
    <phoneticPr fontId="4" type="noConversion"/>
  </si>
  <si>
    <t>강동농협 사업주</t>
    <phoneticPr fontId="4" type="noConversion"/>
  </si>
  <si>
    <t>(금액단위:원)</t>
    <phoneticPr fontId="4" type="noConversion"/>
  </si>
  <si>
    <t>1. VAT별도</t>
    <phoneticPr fontId="4" type="noConversion"/>
  </si>
  <si>
    <t>합계 (Vat포함)</t>
    <phoneticPr fontId="4" type="noConversion"/>
  </si>
  <si>
    <t>VAT</t>
    <phoneticPr fontId="4" type="noConversion"/>
  </si>
  <si>
    <t>태양광 발전소 시설공사 세부견적서</t>
    <phoneticPr fontId="4" type="noConversion"/>
  </si>
  <si>
    <t xml:space="preserve">        </t>
    <phoneticPr fontId="4" type="noConversion"/>
  </si>
  <si>
    <t xml:space="preserve"># 이 수지분석은 2024년 현물시장 기준 수익분석 자료입니다.
# 선로 개통비 , 구조 보강비 별도 / 순 공사비 기준 수익분석 자료 입니다. </t>
    <phoneticPr fontId="4" type="noConversion"/>
  </si>
  <si>
    <t>연간 발전량
(kW)</t>
    <phoneticPr fontId="4" type="noConversion"/>
  </si>
  <si>
    <t>327.36kw</t>
    <phoneticPr fontId="4" type="noConversion"/>
  </si>
  <si>
    <t>무등급</t>
    <phoneticPr fontId="4" type="noConversion"/>
  </si>
  <si>
    <t>모듈변경에 따른 할인금액 (100kw당 10,000,000원)</t>
    <phoneticPr fontId="4" type="noConversion"/>
  </si>
  <si>
    <t>단위절삭</t>
    <phoneticPr fontId="4" type="noConversion"/>
  </si>
  <si>
    <t>한화 620W 무등급모듈</t>
    <phoneticPr fontId="4" type="noConversion"/>
  </si>
  <si>
    <t>모듈 ( 한화 620W N타입 )</t>
    <phoneticPr fontId="4" type="noConversion"/>
  </si>
  <si>
    <t>5. 약 307kw기준 (kw당1,095,647원) &gt; 327kw기준 (kw당 974,458원)</t>
    <phoneticPr fontId="4" type="noConversion"/>
  </si>
  <si>
    <r>
      <t xml:space="preserve">평균수익(年)
</t>
    </r>
    <r>
      <rPr>
        <b/>
        <sz val="10"/>
        <color rgb="FFFF0000"/>
        <rFont val="맑은 고딕"/>
        <family val="3"/>
        <charset val="129"/>
        <scheme val="minor"/>
      </rPr>
      <t>(=수익-대출액-이자)</t>
    </r>
    <phoneticPr fontId="4" type="noConversion"/>
  </si>
  <si>
    <t>-</t>
    <phoneticPr fontId="4" type="noConversion"/>
  </si>
  <si>
    <r>
      <t xml:space="preserve">평균 상환액(年)
</t>
    </r>
    <r>
      <rPr>
        <b/>
        <sz val="10"/>
        <color rgb="FFFF0000"/>
        <rFont val="맑은 고딕"/>
        <family val="3"/>
        <charset val="129"/>
        <scheme val="minor"/>
      </rPr>
      <t>(=대출액+이자)</t>
    </r>
    <phoneticPr fontId="4" type="noConversion"/>
  </si>
  <si>
    <t>RPS 태양광 경제성 분석 (현물시장)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</si>
</sst>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_-* #,##0_-;\-* #,##0_-;_-* &quot;-&quot;??_-;_-@_-"/>
    <numFmt numFmtId="177" formatCode="_-* #,##0.0_-;\-* #,##0.0_-;_-* &quot;-&quot;_-;_-@_-"/>
    <numFmt numFmtId="178" formatCode="_-[$₩-412]* #,##0_-;\-[$₩-412]* #,##0_-;_-[$₩-412]* &quot;-&quot;??_-;_-@_-"/>
    <numFmt numFmtId="179" formatCode="0.0%"/>
    <numFmt numFmtId="180" formatCode="0.0&quot;(년)&quot;"/>
    <numFmt numFmtId="181" formatCode="General&quot;(년)&quot;"/>
    <numFmt numFmtId="182" formatCode="#,##0&quot;원&quot;"/>
    <numFmt numFmtId="183" formatCode="#,##0_ "/>
    <numFmt numFmtId="184" formatCode="[$₩-412]#,##0"/>
    <numFmt numFmtId="185" formatCode="General\(&quot;月&quot;\)"/>
    <numFmt numFmtId="186" formatCode="General&quot;(月)&quot;"/>
  </numFmts>
  <fonts count="5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28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4" tint="-0.499984740745262"/>
      <name val="맑은 고딕"/>
      <family val="2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4" tint="-0.49998474074526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</font>
    <font>
      <b/>
      <sz val="10"/>
      <color rgb="FFFF0000"/>
      <name val="맑은 고딕"/>
      <family val="3"/>
      <charset val="129"/>
      <scheme val="minor"/>
    </font>
    <font>
      <b/>
      <sz val="9"/>
      <color theme="8" tint="-0.499984740745262"/>
      <name val="맑은 고딕"/>
      <family val="3"/>
      <charset val="129"/>
      <scheme val="minor"/>
    </font>
    <font>
      <b/>
      <sz val="32"/>
      <color theme="6" tint="-0.49998474074526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u/>
      <sz val="36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8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36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ouble">
        <color rgb="FFFF0000"/>
      </top>
      <bottom style="thin">
        <color indexed="64"/>
      </bottom>
      <diagonal/>
    </border>
    <border>
      <left style="thin">
        <color theme="1"/>
      </left>
      <right style="double">
        <color rgb="FFFF0000"/>
      </right>
      <top style="double">
        <color rgb="FFFF0000"/>
      </top>
      <bottom style="thin">
        <color indexed="64"/>
      </bottom>
      <diagonal/>
    </border>
    <border>
      <left style="thin">
        <color theme="1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double">
        <color rgb="FFFF0000"/>
      </bottom>
      <diagonal/>
    </border>
    <border>
      <left style="thin">
        <color theme="1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medium">
        <color indexed="64"/>
      </top>
      <bottom/>
      <diagonal/>
    </border>
    <border>
      <left style="thin">
        <color indexed="64"/>
      </left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FF0000"/>
      </left>
      <right/>
      <top style="double">
        <color rgb="FFFF0000"/>
      </top>
      <bottom style="thin">
        <color indexed="64"/>
      </bottom>
      <diagonal/>
    </border>
    <border>
      <left/>
      <right style="double">
        <color rgb="FFFF0000"/>
      </right>
      <top style="double">
        <color rgb="FFFF0000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medium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ck">
        <color rgb="FFFF0000"/>
      </left>
      <right style="thin">
        <color theme="1"/>
      </right>
      <top style="thick">
        <color rgb="FFFF0000"/>
      </top>
      <bottom style="thin">
        <color theme="1"/>
      </bottom>
      <diagonal/>
    </border>
    <border>
      <left style="thin">
        <color theme="1"/>
      </left>
      <right style="thick">
        <color rgb="FFFF0000"/>
      </right>
      <top style="thick">
        <color rgb="FFFF0000"/>
      </top>
      <bottom style="thin">
        <color theme="1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rgb="FFFF0000"/>
      </right>
      <top style="thin">
        <color theme="1"/>
      </top>
      <bottom style="thin">
        <color theme="1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ck">
        <color rgb="FFFF0000"/>
      </bottom>
      <diagonal/>
    </border>
    <border>
      <left style="thin">
        <color theme="1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ck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FF0000"/>
      </left>
      <right style="thin">
        <color auto="1"/>
      </right>
      <top style="double">
        <color rgb="FFFF0000"/>
      </top>
      <bottom style="thin">
        <color indexed="64"/>
      </bottom>
      <diagonal/>
    </border>
    <border>
      <left/>
      <right style="thin">
        <color auto="1"/>
      </right>
      <top style="double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392">
    <xf numFmtId="0" fontId="0" fillId="0" borderId="0" xfId="0">
      <alignment vertical="center"/>
    </xf>
    <xf numFmtId="41" fontId="0" fillId="0" borderId="4" xfId="1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1" fontId="0" fillId="3" borderId="4" xfId="1" applyFont="1" applyFill="1" applyBorder="1">
      <alignment vertical="center"/>
    </xf>
    <xf numFmtId="41" fontId="0" fillId="0" borderId="0" xfId="1" applyFont="1">
      <alignment vertical="center"/>
    </xf>
    <xf numFmtId="41" fontId="6" fillId="0" borderId="7" xfId="1" applyFont="1" applyBorder="1">
      <alignment vertical="center"/>
    </xf>
    <xf numFmtId="41" fontId="6" fillId="3" borderId="7" xfId="1" applyFont="1" applyFill="1" applyBorder="1">
      <alignment vertical="center"/>
    </xf>
    <xf numFmtId="41" fontId="0" fillId="0" borderId="8" xfId="1" applyFont="1" applyBorder="1">
      <alignment vertical="center"/>
    </xf>
    <xf numFmtId="41" fontId="0" fillId="3" borderId="8" xfId="1" applyFont="1" applyFill="1" applyBorder="1">
      <alignment vertical="center"/>
    </xf>
    <xf numFmtId="41" fontId="6" fillId="0" borderId="10" xfId="1" applyFont="1" applyBorder="1">
      <alignment vertical="center"/>
    </xf>
    <xf numFmtId="41" fontId="6" fillId="3" borderId="10" xfId="1" applyFont="1" applyFill="1" applyBorder="1">
      <alignment vertical="center"/>
    </xf>
    <xf numFmtId="41" fontId="6" fillId="3" borderId="11" xfId="1" applyFont="1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41" fontId="0" fillId="3" borderId="6" xfId="1" applyFont="1" applyFill="1" applyBorder="1">
      <alignment vertical="center"/>
    </xf>
    <xf numFmtId="41" fontId="6" fillId="3" borderId="14" xfId="1" applyFont="1" applyFill="1" applyBorder="1">
      <alignment vertical="center"/>
    </xf>
    <xf numFmtId="41" fontId="0" fillId="3" borderId="15" xfId="1" applyFont="1" applyFill="1" applyBorder="1">
      <alignment vertical="center"/>
    </xf>
    <xf numFmtId="0" fontId="15" fillId="0" borderId="0" xfId="0" applyFont="1">
      <alignment vertical="center"/>
    </xf>
    <xf numFmtId="0" fontId="5" fillId="2" borderId="18" xfId="0" applyFont="1" applyFill="1" applyBorder="1" applyAlignment="1">
      <alignment horizontal="center" vertical="center" wrapText="1"/>
    </xf>
    <xf numFmtId="176" fontId="0" fillId="0" borderId="16" xfId="0" applyNumberFormat="1" applyBorder="1">
      <alignment vertical="center"/>
    </xf>
    <xf numFmtId="176" fontId="0" fillId="3" borderId="16" xfId="0" applyNumberFormat="1" applyFill="1" applyBorder="1">
      <alignment vertical="center"/>
    </xf>
    <xf numFmtId="0" fontId="5" fillId="2" borderId="23" xfId="0" applyFont="1" applyFill="1" applyBorder="1" applyAlignment="1">
      <alignment horizontal="center" vertical="center" wrapText="1"/>
    </xf>
    <xf numFmtId="176" fontId="0" fillId="0" borderId="22" xfId="0" applyNumberFormat="1" applyBorder="1">
      <alignment vertical="center"/>
    </xf>
    <xf numFmtId="176" fontId="0" fillId="3" borderId="22" xfId="0" applyNumberFormat="1" applyFill="1" applyBorder="1">
      <alignment vertical="center"/>
    </xf>
    <xf numFmtId="176" fontId="6" fillId="0" borderId="16" xfId="0" applyNumberFormat="1" applyFont="1" applyBorder="1">
      <alignment vertical="center"/>
    </xf>
    <xf numFmtId="0" fontId="0" fillId="0" borderId="21" xfId="0" applyBorder="1" applyAlignment="1">
      <alignment horizontal="center" vertical="center"/>
    </xf>
    <xf numFmtId="176" fontId="0" fillId="0" borderId="28" xfId="0" applyNumberFormat="1" applyBorder="1">
      <alignment vertical="center"/>
    </xf>
    <xf numFmtId="176" fontId="0" fillId="3" borderId="28" xfId="0" applyNumberFormat="1" applyFill="1" applyBorder="1">
      <alignment vertical="center"/>
    </xf>
    <xf numFmtId="176" fontId="0" fillId="3" borderId="29" xfId="0" applyNumberFormat="1" applyFill="1" applyBorder="1">
      <alignment vertical="center"/>
    </xf>
    <xf numFmtId="176" fontId="0" fillId="3" borderId="30" xfId="0" applyNumberFormat="1" applyFill="1" applyBorder="1">
      <alignment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41" fontId="0" fillId="0" borderId="7" xfId="1" applyFont="1" applyBorder="1">
      <alignment vertical="center"/>
    </xf>
    <xf numFmtId="41" fontId="0" fillId="3" borderId="7" xfId="1" applyFont="1" applyFill="1" applyBorder="1">
      <alignment vertical="center"/>
    </xf>
    <xf numFmtId="41" fontId="0" fillId="3" borderId="14" xfId="1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41" fontId="7" fillId="0" borderId="31" xfId="1" applyFont="1" applyBorder="1">
      <alignment vertical="center"/>
    </xf>
    <xf numFmtId="41" fontId="8" fillId="0" borderId="40" xfId="1" applyFont="1" applyBorder="1">
      <alignment vertical="center"/>
    </xf>
    <xf numFmtId="41" fontId="8" fillId="0" borderId="31" xfId="1" applyFont="1" applyBorder="1">
      <alignment vertical="center"/>
    </xf>
    <xf numFmtId="177" fontId="8" fillId="0" borderId="40" xfId="1" applyNumberFormat="1" applyFont="1" applyBorder="1">
      <alignment vertical="center"/>
    </xf>
    <xf numFmtId="41" fontId="8" fillId="0" borderId="37" xfId="1" applyFont="1" applyBorder="1">
      <alignment vertical="center"/>
    </xf>
    <xf numFmtId="41" fontId="0" fillId="0" borderId="31" xfId="1" applyFont="1" applyBorder="1" applyAlignment="1">
      <alignment horizontal="center" vertical="center"/>
    </xf>
    <xf numFmtId="178" fontId="0" fillId="0" borderId="40" xfId="1" applyNumberFormat="1" applyFont="1" applyBorder="1" applyAlignment="1">
      <alignment horizontal="right" vertical="center"/>
    </xf>
    <xf numFmtId="41" fontId="8" fillId="0" borderId="43" xfId="1" applyFont="1" applyFill="1" applyBorder="1" applyAlignment="1">
      <alignment horizontal="center" vertical="center"/>
    </xf>
    <xf numFmtId="41" fontId="9" fillId="0" borderId="31" xfId="1" applyFont="1" applyBorder="1" applyAlignment="1">
      <alignment horizontal="center" vertical="center"/>
    </xf>
    <xf numFmtId="178" fontId="11" fillId="0" borderId="40" xfId="1" applyNumberFormat="1" applyFont="1" applyBorder="1" applyAlignment="1">
      <alignment vertical="center"/>
    </xf>
    <xf numFmtId="41" fontId="0" fillId="0" borderId="32" xfId="1" applyFont="1" applyBorder="1">
      <alignment vertical="center"/>
    </xf>
    <xf numFmtId="179" fontId="6" fillId="0" borderId="34" xfId="2" applyNumberFormat="1" applyFont="1" applyBorder="1">
      <alignment vertical="center"/>
    </xf>
    <xf numFmtId="41" fontId="6" fillId="0" borderId="31" xfId="1" applyFont="1" applyFill="1" applyBorder="1">
      <alignment vertical="center"/>
    </xf>
    <xf numFmtId="180" fontId="6" fillId="0" borderId="40" xfId="1" applyNumberFormat="1" applyFont="1" applyFill="1" applyBorder="1">
      <alignment vertical="center"/>
    </xf>
    <xf numFmtId="41" fontId="2" fillId="0" borderId="31" xfId="1" applyFont="1" applyBorder="1">
      <alignment vertical="center"/>
    </xf>
    <xf numFmtId="178" fontId="12" fillId="0" borderId="40" xfId="0" applyNumberFormat="1" applyFont="1" applyBorder="1">
      <alignment vertical="center"/>
    </xf>
    <xf numFmtId="41" fontId="18" fillId="0" borderId="31" xfId="1" applyFont="1" applyBorder="1">
      <alignment vertical="center"/>
    </xf>
    <xf numFmtId="178" fontId="19" fillId="0" borderId="40" xfId="0" applyNumberFormat="1" applyFont="1" applyBorder="1">
      <alignment vertical="center"/>
    </xf>
    <xf numFmtId="0" fontId="0" fillId="0" borderId="44" xfId="0" applyBorder="1">
      <alignment vertical="center"/>
    </xf>
    <xf numFmtId="0" fontId="0" fillId="0" borderId="46" xfId="0" applyBorder="1">
      <alignment vertical="center"/>
    </xf>
    <xf numFmtId="0" fontId="0" fillId="0" borderId="50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182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0" fontId="0" fillId="0" borderId="48" xfId="0" applyBorder="1">
      <alignment vertical="center"/>
    </xf>
    <xf numFmtId="0" fontId="0" fillId="0" borderId="55" xfId="0" applyBorder="1" applyAlignment="1">
      <alignment vertical="center" wrapText="1"/>
    </xf>
    <xf numFmtId="0" fontId="0" fillId="0" borderId="57" xfId="0" applyBorder="1">
      <alignment vertical="center"/>
    </xf>
    <xf numFmtId="41" fontId="0" fillId="0" borderId="57" xfId="1" applyFont="1" applyBorder="1">
      <alignment vertical="center"/>
    </xf>
    <xf numFmtId="0" fontId="0" fillId="0" borderId="58" xfId="0" applyBorder="1">
      <alignment vertical="center"/>
    </xf>
    <xf numFmtId="181" fontId="0" fillId="0" borderId="58" xfId="0" applyNumberFormat="1" applyBorder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 shrinkToFit="1"/>
    </xf>
    <xf numFmtId="0" fontId="14" fillId="2" borderId="9" xfId="0" applyFont="1" applyFill="1" applyBorder="1" applyAlignment="1">
      <alignment horizontal="center" vertical="center" wrapText="1" shrinkToFi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14" fontId="0" fillId="0" borderId="16" xfId="0" applyNumberFormat="1" applyBorder="1">
      <alignment vertical="center"/>
    </xf>
    <xf numFmtId="183" fontId="0" fillId="0" borderId="16" xfId="0" applyNumberFormat="1" applyBorder="1">
      <alignment vertical="center"/>
    </xf>
    <xf numFmtId="0" fontId="16" fillId="0" borderId="0" xfId="0" applyFont="1" applyAlignment="1">
      <alignment vertical="center" wrapText="1"/>
    </xf>
    <xf numFmtId="0" fontId="25" fillId="2" borderId="18" xfId="0" applyFont="1" applyFill="1" applyBorder="1" applyAlignment="1">
      <alignment horizontal="center" vertical="center" wrapText="1"/>
    </xf>
    <xf numFmtId="185" fontId="0" fillId="0" borderId="47" xfId="0" applyNumberFormat="1" applyBorder="1">
      <alignment vertical="center"/>
    </xf>
    <xf numFmtId="186" fontId="0" fillId="0" borderId="49" xfId="0" applyNumberFormat="1" applyBorder="1">
      <alignment vertical="center"/>
    </xf>
    <xf numFmtId="14" fontId="0" fillId="0" borderId="58" xfId="0" applyNumberFormat="1" applyBorder="1">
      <alignment vertical="center"/>
    </xf>
    <xf numFmtId="184" fontId="0" fillId="0" borderId="58" xfId="0" applyNumberFormat="1" applyBorder="1">
      <alignment vertical="center"/>
    </xf>
    <xf numFmtId="0" fontId="0" fillId="0" borderId="59" xfId="0" applyBorder="1">
      <alignment vertical="center"/>
    </xf>
    <xf numFmtId="178" fontId="0" fillId="0" borderId="60" xfId="0" applyNumberFormat="1" applyBorder="1">
      <alignment vertical="center"/>
    </xf>
    <xf numFmtId="0" fontId="2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1" fontId="0" fillId="0" borderId="56" xfId="1" applyFont="1" applyBorder="1">
      <alignment vertical="center"/>
    </xf>
    <xf numFmtId="0" fontId="14" fillId="2" borderId="62" xfId="0" applyFont="1" applyFill="1" applyBorder="1" applyAlignment="1">
      <alignment horizontal="center" vertical="center" wrapText="1"/>
    </xf>
    <xf numFmtId="176" fontId="0" fillId="0" borderId="31" xfId="0" applyNumberFormat="1" applyBorder="1">
      <alignment vertical="center"/>
    </xf>
    <xf numFmtId="176" fontId="0" fillId="3" borderId="31" xfId="0" applyNumberFormat="1" applyFill="1" applyBorder="1">
      <alignment vertical="center"/>
    </xf>
    <xf numFmtId="176" fontId="0" fillId="3" borderId="59" xfId="0" applyNumberFormat="1" applyFill="1" applyBorder="1">
      <alignment vertical="center"/>
    </xf>
    <xf numFmtId="0" fontId="14" fillId="2" borderId="63" xfId="0" applyFont="1" applyFill="1" applyBorder="1" applyAlignment="1">
      <alignment horizontal="center" vertical="center" wrapText="1"/>
    </xf>
    <xf numFmtId="176" fontId="0" fillId="0" borderId="8" xfId="0" applyNumberFormat="1" applyBorder="1">
      <alignment vertical="center"/>
    </xf>
    <xf numFmtId="176" fontId="0" fillId="3" borderId="8" xfId="0" applyNumberFormat="1" applyFill="1" applyBorder="1">
      <alignment vertical="center"/>
    </xf>
    <xf numFmtId="176" fontId="0" fillId="3" borderId="64" xfId="0" applyNumberFormat="1" applyFill="1" applyBorder="1">
      <alignment vertical="center"/>
    </xf>
    <xf numFmtId="0" fontId="28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14" fontId="34" fillId="0" borderId="0" xfId="0" applyNumberFormat="1" applyFont="1">
      <alignment vertical="center"/>
    </xf>
    <xf numFmtId="0" fontId="34" fillId="0" borderId="0" xfId="0" applyFont="1" applyAlignment="1">
      <alignment horizontal="right" vertical="center"/>
    </xf>
    <xf numFmtId="0" fontId="34" fillId="0" borderId="68" xfId="0" applyFont="1" applyBorder="1" applyAlignment="1">
      <alignment horizontal="right" vertical="center"/>
    </xf>
    <xf numFmtId="31" fontId="34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2" fillId="0" borderId="4" xfId="0" applyFont="1" applyBorder="1" applyAlignment="1">
      <alignment horizontal="center" vertical="center"/>
    </xf>
    <xf numFmtId="0" fontId="32" fillId="0" borderId="7" xfId="0" applyFont="1" applyBorder="1" applyAlignment="1">
      <alignment horizontal="right" vertical="center"/>
    </xf>
    <xf numFmtId="0" fontId="32" fillId="0" borderId="4" xfId="0" applyFont="1" applyBorder="1" applyAlignment="1">
      <alignment horizontal="right" vertical="center"/>
    </xf>
    <xf numFmtId="0" fontId="32" fillId="0" borderId="4" xfId="0" applyFont="1" applyBorder="1">
      <alignment vertical="center"/>
    </xf>
    <xf numFmtId="41" fontId="32" fillId="0" borderId="4" xfId="1" applyFont="1" applyFill="1" applyBorder="1" applyAlignment="1">
      <alignment horizontal="right" vertical="center"/>
    </xf>
    <xf numFmtId="0" fontId="32" fillId="4" borderId="4" xfId="0" applyFont="1" applyFill="1" applyBorder="1" applyAlignment="1">
      <alignment horizontal="center" vertical="center"/>
    </xf>
    <xf numFmtId="41" fontId="32" fillId="4" borderId="4" xfId="1" applyFont="1" applyFill="1" applyBorder="1" applyAlignment="1">
      <alignment horizontal="right" vertical="center"/>
    </xf>
    <xf numFmtId="0" fontId="32" fillId="4" borderId="4" xfId="0" applyFont="1" applyFill="1" applyBorder="1">
      <alignment vertical="center"/>
    </xf>
    <xf numFmtId="0" fontId="32" fillId="0" borderId="69" xfId="0" applyFont="1" applyBorder="1">
      <alignment vertical="center"/>
    </xf>
    <xf numFmtId="0" fontId="34" fillId="0" borderId="68" xfId="0" applyFont="1" applyBorder="1">
      <alignment vertical="center"/>
    </xf>
    <xf numFmtId="0" fontId="34" fillId="0" borderId="70" xfId="0" applyFont="1" applyBorder="1">
      <alignment vertical="center"/>
    </xf>
    <xf numFmtId="0" fontId="34" fillId="0" borderId="71" xfId="0" applyFont="1" applyBorder="1">
      <alignment vertical="center"/>
    </xf>
    <xf numFmtId="0" fontId="34" fillId="0" borderId="72" xfId="0" applyFont="1" applyBorder="1">
      <alignment vertical="center"/>
    </xf>
    <xf numFmtId="0" fontId="34" fillId="0" borderId="73" xfId="0" applyFont="1" applyBorder="1">
      <alignment vertical="center"/>
    </xf>
    <xf numFmtId="0" fontId="0" fillId="7" borderId="51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6" fontId="36" fillId="4" borderId="31" xfId="0" applyNumberFormat="1" applyFont="1" applyFill="1" applyBorder="1">
      <alignment vertical="center"/>
    </xf>
    <xf numFmtId="176" fontId="36" fillId="4" borderId="8" xfId="0" applyNumberFormat="1" applyFont="1" applyFill="1" applyBorder="1">
      <alignment vertical="center"/>
    </xf>
    <xf numFmtId="176" fontId="6" fillId="0" borderId="25" xfId="0" applyNumberFormat="1" applyFont="1" applyBorder="1">
      <alignment vertical="center"/>
    </xf>
    <xf numFmtId="176" fontId="6" fillId="0" borderId="28" xfId="0" applyNumberFormat="1" applyFont="1" applyBorder="1">
      <alignment vertical="center"/>
    </xf>
    <xf numFmtId="0" fontId="0" fillId="0" borderId="65" xfId="0" applyBorder="1">
      <alignment vertical="center"/>
    </xf>
    <xf numFmtId="0" fontId="0" fillId="0" borderId="24" xfId="0" applyBorder="1">
      <alignment vertical="center"/>
    </xf>
    <xf numFmtId="0" fontId="0" fillId="0" borderId="66" xfId="0" applyBorder="1">
      <alignment vertical="center"/>
    </xf>
    <xf numFmtId="0" fontId="0" fillId="0" borderId="75" xfId="0" applyBorder="1">
      <alignment vertical="center"/>
    </xf>
    <xf numFmtId="0" fontId="0" fillId="0" borderId="21" xfId="0" applyBorder="1">
      <alignment vertical="center"/>
    </xf>
    <xf numFmtId="0" fontId="0" fillId="0" borderId="36" xfId="0" applyBorder="1">
      <alignment vertical="center"/>
    </xf>
    <xf numFmtId="0" fontId="0" fillId="8" borderId="77" xfId="0" applyFill="1" applyBorder="1">
      <alignment vertical="center"/>
    </xf>
    <xf numFmtId="0" fontId="0" fillId="8" borderId="78" xfId="0" applyFill="1" applyBorder="1">
      <alignment vertical="center"/>
    </xf>
    <xf numFmtId="0" fontId="0" fillId="0" borderId="79" xfId="0" applyBorder="1">
      <alignment vertical="center"/>
    </xf>
    <xf numFmtId="0" fontId="37" fillId="0" borderId="0" xfId="0" applyFont="1">
      <alignment vertical="center"/>
    </xf>
    <xf numFmtId="0" fontId="38" fillId="8" borderId="76" xfId="0" applyFont="1" applyFill="1" applyBorder="1">
      <alignment vertical="center"/>
    </xf>
    <xf numFmtId="0" fontId="0" fillId="0" borderId="17" xfId="0" applyBorder="1">
      <alignment vertical="center"/>
    </xf>
    <xf numFmtId="0" fontId="0" fillId="0" borderId="80" xfId="0" applyBorder="1">
      <alignment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1" xfId="0" applyBorder="1">
      <alignment vertical="center"/>
    </xf>
    <xf numFmtId="0" fontId="0" fillId="0" borderId="7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0" fillId="0" borderId="54" xfId="1" applyFont="1" applyFill="1" applyBorder="1">
      <alignment vertical="center"/>
    </xf>
    <xf numFmtId="41" fontId="0" fillId="0" borderId="70" xfId="1" applyFont="1" applyBorder="1" applyAlignment="1">
      <alignment vertical="center"/>
    </xf>
    <xf numFmtId="41" fontId="0" fillId="0" borderId="72" xfId="1" applyFont="1" applyBorder="1" applyAlignment="1">
      <alignment vertical="center"/>
    </xf>
    <xf numFmtId="41" fontId="0" fillId="0" borderId="72" xfId="1" applyFont="1" applyBorder="1">
      <alignment vertical="center"/>
    </xf>
    <xf numFmtId="41" fontId="0" fillId="0" borderId="74" xfId="1" applyFont="1" applyBorder="1">
      <alignment vertical="center"/>
    </xf>
    <xf numFmtId="176" fontId="6" fillId="3" borderId="25" xfId="0" applyNumberFormat="1" applyFont="1" applyFill="1" applyBorder="1">
      <alignment vertical="center"/>
    </xf>
    <xf numFmtId="41" fontId="32" fillId="0" borderId="4" xfId="1" applyFont="1" applyBorder="1">
      <alignment vertical="center"/>
    </xf>
    <xf numFmtId="0" fontId="36" fillId="9" borderId="7" xfId="0" applyFont="1" applyFill="1" applyBorder="1" applyAlignment="1">
      <alignment horizontal="center" vertical="center"/>
    </xf>
    <xf numFmtId="0" fontId="36" fillId="9" borderId="4" xfId="0" applyFont="1" applyFill="1" applyBorder="1" applyAlignment="1">
      <alignment horizontal="center" vertical="center"/>
    </xf>
    <xf numFmtId="0" fontId="36" fillId="9" borderId="8" xfId="0" applyFont="1" applyFill="1" applyBorder="1" applyAlignment="1">
      <alignment horizontal="center" vertical="center"/>
    </xf>
    <xf numFmtId="0" fontId="43" fillId="0" borderId="81" xfId="0" applyFont="1" applyBorder="1">
      <alignment vertical="center"/>
    </xf>
    <xf numFmtId="0" fontId="43" fillId="0" borderId="82" xfId="0" applyFont="1" applyBorder="1">
      <alignment vertical="center"/>
    </xf>
    <xf numFmtId="3" fontId="42" fillId="0" borderId="82" xfId="0" applyNumberFormat="1" applyFont="1" applyBorder="1">
      <alignment vertical="center"/>
    </xf>
    <xf numFmtId="0" fontId="42" fillId="0" borderId="82" xfId="0" applyFont="1" applyBorder="1">
      <alignment vertical="center"/>
    </xf>
    <xf numFmtId="0" fontId="42" fillId="0" borderId="0" xfId="0" applyFont="1">
      <alignment vertical="center"/>
    </xf>
    <xf numFmtId="0" fontId="42" fillId="0" borderId="83" xfId="0" applyFont="1" applyBorder="1">
      <alignment vertical="center"/>
    </xf>
    <xf numFmtId="0" fontId="42" fillId="0" borderId="70" xfId="0" applyFont="1" applyBorder="1">
      <alignment vertical="center"/>
    </xf>
    <xf numFmtId="0" fontId="42" fillId="0" borderId="74" xfId="0" applyFont="1" applyBorder="1">
      <alignment vertical="center"/>
    </xf>
    <xf numFmtId="0" fontId="42" fillId="0" borderId="81" xfId="0" applyFont="1" applyBorder="1">
      <alignment vertical="center"/>
    </xf>
    <xf numFmtId="0" fontId="42" fillId="0" borderId="84" xfId="0" applyFont="1" applyBorder="1" applyAlignment="1">
      <alignment horizontal="center" vertical="center"/>
    </xf>
    <xf numFmtId="3" fontId="42" fillId="0" borderId="84" xfId="0" applyNumberFormat="1" applyFont="1" applyBorder="1" applyAlignment="1">
      <alignment horizontal="right" vertical="center"/>
    </xf>
    <xf numFmtId="0" fontId="42" fillId="0" borderId="85" xfId="0" applyFont="1" applyBorder="1">
      <alignment vertical="center"/>
    </xf>
    <xf numFmtId="0" fontId="42" fillId="0" borderId="82" xfId="0" applyFont="1" applyBorder="1" applyAlignment="1">
      <alignment horizontal="center" vertical="center"/>
    </xf>
    <xf numFmtId="0" fontId="42" fillId="0" borderId="85" xfId="0" applyFont="1" applyBorder="1" applyAlignment="1">
      <alignment horizontal="center" vertical="center"/>
    </xf>
    <xf numFmtId="3" fontId="42" fillId="0" borderId="83" xfId="0" applyNumberFormat="1" applyFont="1" applyBorder="1">
      <alignment vertical="center"/>
    </xf>
    <xf numFmtId="0" fontId="42" fillId="10" borderId="4" xfId="0" applyFont="1" applyFill="1" applyBorder="1" applyAlignment="1">
      <alignment horizontal="center" vertical="center"/>
    </xf>
    <xf numFmtId="0" fontId="42" fillId="10" borderId="4" xfId="0" applyFont="1" applyFill="1" applyBorder="1">
      <alignment vertical="center"/>
    </xf>
    <xf numFmtId="3" fontId="42" fillId="10" borderId="4" xfId="0" applyNumberFormat="1" applyFont="1" applyFill="1" applyBorder="1">
      <alignment vertical="center"/>
    </xf>
    <xf numFmtId="0" fontId="42" fillId="10" borderId="83" xfId="0" applyFont="1" applyFill="1" applyBorder="1">
      <alignment vertical="center"/>
    </xf>
    <xf numFmtId="3" fontId="42" fillId="0" borderId="81" xfId="0" applyNumberFormat="1" applyFont="1" applyBorder="1">
      <alignment vertical="center"/>
    </xf>
    <xf numFmtId="3" fontId="0" fillId="0" borderId="0" xfId="0" applyNumberFormat="1">
      <alignment vertical="center"/>
    </xf>
    <xf numFmtId="3" fontId="42" fillId="10" borderId="22" xfId="0" applyNumberFormat="1" applyFont="1" applyFill="1" applyBorder="1">
      <alignment vertical="center"/>
    </xf>
    <xf numFmtId="0" fontId="45" fillId="5" borderId="0" xfId="0" applyFont="1" applyFill="1">
      <alignment vertical="center"/>
    </xf>
    <xf numFmtId="0" fontId="46" fillId="5" borderId="0" xfId="0" applyFont="1" applyFill="1">
      <alignment vertical="center"/>
    </xf>
    <xf numFmtId="0" fontId="42" fillId="0" borderId="73" xfId="0" applyFont="1" applyBorder="1" applyAlignment="1">
      <alignment horizontal="center" vertical="center"/>
    </xf>
    <xf numFmtId="9" fontId="42" fillId="0" borderId="81" xfId="0" applyNumberFormat="1" applyFont="1" applyBorder="1">
      <alignment vertical="center"/>
    </xf>
    <xf numFmtId="0" fontId="36" fillId="0" borderId="0" xfId="0" applyFont="1">
      <alignment vertical="center"/>
    </xf>
    <xf numFmtId="41" fontId="39" fillId="0" borderId="0" xfId="1" applyFont="1">
      <alignment vertical="center"/>
    </xf>
    <xf numFmtId="0" fontId="42" fillId="0" borderId="4" xfId="0" applyFont="1" applyBorder="1" applyAlignment="1">
      <alignment horizontal="center" vertical="center"/>
    </xf>
    <xf numFmtId="3" fontId="42" fillId="0" borderId="4" xfId="0" applyNumberFormat="1" applyFont="1" applyBorder="1" applyAlignment="1">
      <alignment horizontal="right" vertical="center"/>
    </xf>
    <xf numFmtId="3" fontId="42" fillId="0" borderId="4" xfId="0" applyNumberFormat="1" applyFont="1" applyBorder="1">
      <alignment vertical="center"/>
    </xf>
    <xf numFmtId="41" fontId="37" fillId="0" borderId="0" xfId="1" applyFont="1">
      <alignment vertical="center"/>
    </xf>
    <xf numFmtId="0" fontId="42" fillId="0" borderId="81" xfId="0" applyFont="1" applyBorder="1" applyAlignment="1">
      <alignment horizontal="center" vertical="center"/>
    </xf>
    <xf numFmtId="0" fontId="42" fillId="0" borderId="83" xfId="0" applyFont="1" applyBorder="1" applyAlignment="1">
      <alignment horizontal="center" vertical="center"/>
    </xf>
    <xf numFmtId="0" fontId="42" fillId="10" borderId="8" xfId="0" applyFont="1" applyFill="1" applyBorder="1" applyAlignment="1">
      <alignment horizontal="center" vertical="center"/>
    </xf>
    <xf numFmtId="0" fontId="50" fillId="0" borderId="0" xfId="0" applyFont="1">
      <alignment vertical="center"/>
    </xf>
    <xf numFmtId="41" fontId="50" fillId="0" borderId="0" xfId="1" applyFont="1">
      <alignment vertical="center"/>
    </xf>
    <xf numFmtId="0" fontId="42" fillId="5" borderId="81" xfId="0" applyFont="1" applyFill="1" applyBorder="1" applyAlignment="1">
      <alignment vertical="center" wrapText="1"/>
    </xf>
    <xf numFmtId="0" fontId="42" fillId="5" borderId="82" xfId="0" applyFont="1" applyFill="1" applyBorder="1" applyAlignment="1">
      <alignment vertical="center" wrapText="1"/>
    </xf>
    <xf numFmtId="0" fontId="42" fillId="3" borderId="4" xfId="0" applyFont="1" applyFill="1" applyBorder="1" applyAlignment="1">
      <alignment vertical="center" wrapText="1"/>
    </xf>
    <xf numFmtId="0" fontId="42" fillId="3" borderId="4" xfId="0" applyFont="1" applyFill="1" applyBorder="1">
      <alignment vertical="center"/>
    </xf>
    <xf numFmtId="0" fontId="42" fillId="3" borderId="4" xfId="0" applyFont="1" applyFill="1" applyBorder="1" applyAlignment="1">
      <alignment horizontal="center" vertical="center"/>
    </xf>
    <xf numFmtId="3" fontId="42" fillId="3" borderId="4" xfId="0" applyNumberFormat="1" applyFont="1" applyFill="1" applyBorder="1">
      <alignment vertical="center"/>
    </xf>
    <xf numFmtId="176" fontId="6" fillId="0" borderId="111" xfId="0" applyNumberFormat="1" applyFont="1" applyBorder="1">
      <alignment vertical="center"/>
    </xf>
    <xf numFmtId="176" fontId="6" fillId="3" borderId="111" xfId="0" applyNumberFormat="1" applyFont="1" applyFill="1" applyBorder="1">
      <alignment vertical="center"/>
    </xf>
    <xf numFmtId="176" fontId="0" fillId="4" borderId="16" xfId="0" applyNumberFormat="1" applyFill="1" applyBorder="1">
      <alignment vertical="center"/>
    </xf>
    <xf numFmtId="14" fontId="0" fillId="4" borderId="16" xfId="0" applyNumberFormat="1" applyFill="1" applyBorder="1">
      <alignment vertical="center"/>
    </xf>
    <xf numFmtId="183" fontId="0" fillId="4" borderId="16" xfId="0" applyNumberFormat="1" applyFill="1" applyBorder="1">
      <alignment vertical="center"/>
    </xf>
    <xf numFmtId="176" fontId="6" fillId="4" borderId="16" xfId="0" applyNumberFormat="1" applyFont="1" applyFill="1" applyBorder="1">
      <alignment vertical="center"/>
    </xf>
    <xf numFmtId="176" fontId="6" fillId="3" borderId="25" xfId="0" applyNumberFormat="1" applyFont="1" applyFill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6" fontId="0" fillId="3" borderId="29" xfId="0" applyNumberFormat="1" applyFill="1" applyBorder="1" applyAlignment="1">
      <alignment horizontal="center" vertical="center"/>
    </xf>
    <xf numFmtId="176" fontId="6" fillId="0" borderId="31" xfId="0" applyNumberFormat="1" applyFont="1" applyFill="1" applyBorder="1">
      <alignment vertical="center"/>
    </xf>
    <xf numFmtId="176" fontId="6" fillId="0" borderId="8" xfId="0" applyNumberFormat="1" applyFont="1" applyFill="1" applyBorder="1">
      <alignment vertical="center"/>
    </xf>
    <xf numFmtId="41" fontId="51" fillId="14" borderId="7" xfId="1" applyFont="1" applyFill="1" applyBorder="1">
      <alignment vertical="center"/>
    </xf>
    <xf numFmtId="41" fontId="51" fillId="14" borderId="14" xfId="1" applyFont="1" applyFill="1" applyBorder="1">
      <alignment vertical="center"/>
    </xf>
    <xf numFmtId="42" fontId="51" fillId="14" borderId="7" xfId="4" applyFont="1" applyFill="1" applyBorder="1">
      <alignment vertical="center"/>
    </xf>
    <xf numFmtId="0" fontId="3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26" fillId="3" borderId="19" xfId="0" applyFont="1" applyFill="1" applyBorder="1" applyAlignment="1">
      <alignment horizontal="center" vertical="center"/>
    </xf>
    <xf numFmtId="0" fontId="26" fillId="3" borderId="20" xfId="0" applyFont="1" applyFill="1" applyBorder="1" applyAlignment="1">
      <alignment horizontal="center" vertical="center"/>
    </xf>
    <xf numFmtId="0" fontId="26" fillId="3" borderId="61" xfId="0" applyFont="1" applyFill="1" applyBorder="1" applyAlignment="1">
      <alignment horizontal="center" vertical="center"/>
    </xf>
    <xf numFmtId="0" fontId="27" fillId="2" borderId="38" xfId="0" applyFont="1" applyFill="1" applyBorder="1" applyAlignment="1">
      <alignment horizontal="center" vertical="center" wrapText="1"/>
    </xf>
    <xf numFmtId="0" fontId="27" fillId="2" borderId="39" xfId="0" applyFont="1" applyFill="1" applyBorder="1" applyAlignment="1">
      <alignment horizontal="center" vertical="center" wrapText="1"/>
    </xf>
    <xf numFmtId="0" fontId="17" fillId="6" borderId="41" xfId="0" applyFont="1" applyFill="1" applyBorder="1" applyAlignment="1">
      <alignment horizontal="center" vertical="center"/>
    </xf>
    <xf numFmtId="0" fontId="17" fillId="6" borderId="42" xfId="0" applyFont="1" applyFill="1" applyBorder="1" applyAlignment="1">
      <alignment horizontal="center" vertical="center"/>
    </xf>
    <xf numFmtId="0" fontId="21" fillId="6" borderId="35" xfId="0" applyFont="1" applyFill="1" applyBorder="1" applyAlignment="1">
      <alignment horizontal="center" vertical="center"/>
    </xf>
    <xf numFmtId="0" fontId="22" fillId="6" borderId="33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2" fillId="6" borderId="34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14" fontId="32" fillId="0" borderId="0" xfId="0" applyNumberFormat="1" applyFont="1" applyAlignment="1">
      <alignment horizontal="right" vertical="center"/>
    </xf>
    <xf numFmtId="14" fontId="32" fillId="0" borderId="67" xfId="0" applyNumberFormat="1" applyFon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34" fillId="0" borderId="67" xfId="0" applyFont="1" applyBorder="1">
      <alignment vertical="center"/>
    </xf>
    <xf numFmtId="0" fontId="34" fillId="0" borderId="74" xfId="0" applyFont="1" applyBorder="1">
      <alignment vertical="center"/>
    </xf>
    <xf numFmtId="14" fontId="32" fillId="0" borderId="0" xfId="0" applyNumberFormat="1" applyFont="1" applyAlignment="1">
      <alignment horizontal="left" vertical="center"/>
    </xf>
    <xf numFmtId="14" fontId="32" fillId="0" borderId="67" xfId="0" applyNumberFormat="1" applyFont="1" applyBorder="1" applyAlignment="1">
      <alignment horizontal="left" vertical="center"/>
    </xf>
    <xf numFmtId="0" fontId="32" fillId="4" borderId="7" xfId="0" applyFont="1" applyFill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0" borderId="72" xfId="0" applyFont="1" applyBorder="1">
      <alignment vertical="center"/>
    </xf>
    <xf numFmtId="0" fontId="34" fillId="0" borderId="0" xfId="0" applyFont="1">
      <alignment vertical="center"/>
    </xf>
    <xf numFmtId="0" fontId="34" fillId="0" borderId="72" xfId="0" applyFont="1" applyBorder="1">
      <alignment vertical="center"/>
    </xf>
    <xf numFmtId="0" fontId="0" fillId="0" borderId="0" xfId="0" applyAlignment="1">
      <alignment horizontal="center" vertical="center"/>
    </xf>
    <xf numFmtId="0" fontId="39" fillId="0" borderId="19" xfId="0" applyFont="1" applyBorder="1" applyAlignment="1">
      <alignment horizontal="left" vertical="center" wrapText="1"/>
    </xf>
    <xf numFmtId="0" fontId="39" fillId="0" borderId="20" xfId="0" applyFont="1" applyBorder="1" applyAlignment="1">
      <alignment horizontal="left" vertical="center" wrapText="1"/>
    </xf>
    <xf numFmtId="0" fontId="44" fillId="13" borderId="7" xfId="0" applyFont="1" applyFill="1" applyBorder="1" applyAlignment="1">
      <alignment horizontal="center" vertical="center"/>
    </xf>
    <xf numFmtId="0" fontId="44" fillId="13" borderId="22" xfId="0" applyFont="1" applyFill="1" applyBorder="1" applyAlignment="1">
      <alignment horizontal="center" vertical="center"/>
    </xf>
    <xf numFmtId="0" fontId="44" fillId="13" borderId="8" xfId="0" applyFont="1" applyFill="1" applyBorder="1" applyAlignment="1">
      <alignment horizontal="center" vertical="center"/>
    </xf>
    <xf numFmtId="3" fontId="44" fillId="13" borderId="7" xfId="0" applyNumberFormat="1" applyFont="1" applyFill="1" applyBorder="1" applyAlignment="1">
      <alignment horizontal="center" vertical="center"/>
    </xf>
    <xf numFmtId="3" fontId="44" fillId="13" borderId="22" xfId="0" applyNumberFormat="1" applyFont="1" applyFill="1" applyBorder="1" applyAlignment="1">
      <alignment horizontal="center" vertical="center"/>
    </xf>
    <xf numFmtId="3" fontId="44" fillId="13" borderId="8" xfId="0" applyNumberFormat="1" applyFont="1" applyFill="1" applyBorder="1" applyAlignment="1">
      <alignment horizontal="center" vertical="center"/>
    </xf>
    <xf numFmtId="0" fontId="42" fillId="0" borderId="108" xfId="0" applyFont="1" applyBorder="1" applyAlignment="1">
      <alignment horizontal="left" vertical="center" indent="1"/>
    </xf>
    <xf numFmtId="0" fontId="42" fillId="0" borderId="109" xfId="0" applyFont="1" applyBorder="1" applyAlignment="1">
      <alignment horizontal="left" vertical="center" indent="1"/>
    </xf>
    <xf numFmtId="0" fontId="42" fillId="0" borderId="110" xfId="0" applyFont="1" applyBorder="1" applyAlignment="1">
      <alignment horizontal="left" vertical="center" indent="1"/>
    </xf>
    <xf numFmtId="0" fontId="36" fillId="0" borderId="65" xfId="0" applyFont="1" applyBorder="1" applyAlignment="1">
      <alignment horizontal="left" vertical="center"/>
    </xf>
    <xf numFmtId="0" fontId="36" fillId="0" borderId="24" xfId="0" applyFont="1" applyBorder="1" applyAlignment="1">
      <alignment horizontal="left" vertical="center"/>
    </xf>
    <xf numFmtId="0" fontId="36" fillId="0" borderId="66" xfId="0" applyFont="1" applyBorder="1" applyAlignment="1">
      <alignment horizontal="left" vertical="center"/>
    </xf>
    <xf numFmtId="0" fontId="36" fillId="0" borderId="17" xfId="0" applyFont="1" applyBorder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36" fillId="0" borderId="80" xfId="0" applyFont="1" applyBorder="1" applyAlignment="1">
      <alignment horizontal="left" vertical="center" indent="1"/>
    </xf>
    <xf numFmtId="0" fontId="42" fillId="0" borderId="17" xfId="0" applyFont="1" applyBorder="1" applyAlignment="1">
      <alignment horizontal="left" vertical="center" indent="1"/>
    </xf>
    <xf numFmtId="0" fontId="42" fillId="0" borderId="0" xfId="0" applyFont="1" applyAlignment="1">
      <alignment horizontal="left" vertical="center" indent="1"/>
    </xf>
    <xf numFmtId="0" fontId="42" fillId="0" borderId="80" xfId="0" applyFont="1" applyBorder="1" applyAlignment="1">
      <alignment horizontal="left" vertical="center" indent="1"/>
    </xf>
    <xf numFmtId="0" fontId="42" fillId="0" borderId="81" xfId="0" applyFont="1" applyBorder="1" applyAlignment="1">
      <alignment horizontal="center" vertical="center"/>
    </xf>
    <xf numFmtId="0" fontId="42" fillId="0" borderId="82" xfId="0" applyFont="1" applyBorder="1" applyAlignment="1">
      <alignment horizontal="center" vertical="center"/>
    </xf>
    <xf numFmtId="0" fontId="42" fillId="0" borderId="83" xfId="0" applyFont="1" applyBorder="1" applyAlignment="1">
      <alignment horizontal="center" vertical="center"/>
    </xf>
    <xf numFmtId="0" fontId="42" fillId="10" borderId="7" xfId="0" applyFont="1" applyFill="1" applyBorder="1" applyAlignment="1">
      <alignment horizontal="center" vertical="center"/>
    </xf>
    <xf numFmtId="0" fontId="42" fillId="10" borderId="8" xfId="0" applyFont="1" applyFill="1" applyBorder="1" applyAlignment="1">
      <alignment horizontal="center" vertical="center"/>
    </xf>
    <xf numFmtId="0" fontId="44" fillId="12" borderId="7" xfId="0" applyFont="1" applyFill="1" applyBorder="1" applyAlignment="1">
      <alignment horizontal="center" vertical="center"/>
    </xf>
    <xf numFmtId="0" fontId="44" fillId="12" borderId="22" xfId="0" applyFont="1" applyFill="1" applyBorder="1" applyAlignment="1">
      <alignment horizontal="center" vertical="center"/>
    </xf>
    <xf numFmtId="0" fontId="44" fillId="12" borderId="8" xfId="0" applyFont="1" applyFill="1" applyBorder="1" applyAlignment="1">
      <alignment horizontal="center" vertical="center"/>
    </xf>
    <xf numFmtId="3" fontId="44" fillId="12" borderId="7" xfId="0" applyNumberFormat="1" applyFont="1" applyFill="1" applyBorder="1" applyAlignment="1">
      <alignment horizontal="center" vertical="center"/>
    </xf>
    <xf numFmtId="3" fontId="44" fillId="12" borderId="22" xfId="0" applyNumberFormat="1" applyFont="1" applyFill="1" applyBorder="1" applyAlignment="1">
      <alignment horizontal="center" vertical="center"/>
    </xf>
    <xf numFmtId="3" fontId="44" fillId="12" borderId="8" xfId="0" applyNumberFormat="1" applyFont="1" applyFill="1" applyBorder="1" applyAlignment="1">
      <alignment horizontal="center" vertical="center"/>
    </xf>
    <xf numFmtId="0" fontId="41" fillId="10" borderId="81" xfId="0" applyFont="1" applyFill="1" applyBorder="1" applyAlignment="1">
      <alignment horizontal="center" vertical="center" wrapText="1"/>
    </xf>
    <xf numFmtId="0" fontId="41" fillId="10" borderId="82" xfId="0" applyFont="1" applyFill="1" applyBorder="1" applyAlignment="1">
      <alignment horizontal="center" vertical="center" wrapText="1"/>
    </xf>
    <xf numFmtId="0" fontId="42" fillId="5" borderId="81" xfId="0" applyFont="1" applyFill="1" applyBorder="1" applyAlignment="1">
      <alignment horizontal="center" vertical="center" wrapText="1"/>
    </xf>
    <xf numFmtId="0" fontId="42" fillId="5" borderId="82" xfId="0" applyFont="1" applyFill="1" applyBorder="1" applyAlignment="1">
      <alignment horizontal="center" vertical="center" wrapText="1"/>
    </xf>
    <xf numFmtId="0" fontId="42" fillId="5" borderId="83" xfId="0" applyFont="1" applyFill="1" applyBorder="1" applyAlignment="1">
      <alignment horizontal="center" vertical="center" wrapText="1"/>
    </xf>
    <xf numFmtId="0" fontId="42" fillId="10" borderId="82" xfId="0" applyFont="1" applyFill="1" applyBorder="1" applyAlignment="1">
      <alignment horizontal="center" vertical="center" wrapText="1"/>
    </xf>
    <xf numFmtId="0" fontId="42" fillId="10" borderId="82" xfId="0" applyFont="1" applyFill="1" applyBorder="1" applyAlignment="1">
      <alignment horizontal="center" vertical="center"/>
    </xf>
    <xf numFmtId="0" fontId="42" fillId="0" borderId="81" xfId="0" applyFont="1" applyBorder="1" applyAlignment="1">
      <alignment horizontal="center" vertical="center" wrapText="1"/>
    </xf>
    <xf numFmtId="3" fontId="42" fillId="0" borderId="81" xfId="0" applyNumberFormat="1" applyFont="1" applyBorder="1" applyAlignment="1">
      <alignment horizontal="right" vertical="center"/>
    </xf>
    <xf numFmtId="3" fontId="42" fillId="0" borderId="83" xfId="0" applyNumberFormat="1" applyFont="1" applyBorder="1" applyAlignment="1">
      <alignment horizontal="right" vertical="center"/>
    </xf>
    <xf numFmtId="0" fontId="40" fillId="0" borderId="0" xfId="0" applyFont="1" applyAlignment="1">
      <alignment horizontal="center" vertical="center"/>
    </xf>
    <xf numFmtId="0" fontId="6" fillId="0" borderId="67" xfId="0" applyFont="1" applyBorder="1" applyAlignment="1">
      <alignment horizontal="right" vertical="center"/>
    </xf>
    <xf numFmtId="0" fontId="42" fillId="10" borderId="83" xfId="0" applyFont="1" applyFill="1" applyBorder="1" applyAlignment="1">
      <alignment horizontal="center" vertical="center"/>
    </xf>
    <xf numFmtId="0" fontId="42" fillId="0" borderId="81" xfId="0" applyFont="1" applyBorder="1" applyAlignment="1">
      <alignment horizontal="left" vertical="center"/>
    </xf>
    <xf numFmtId="0" fontId="42" fillId="0" borderId="83" xfId="0" applyFont="1" applyBorder="1" applyAlignment="1">
      <alignment horizontal="left" vertical="center"/>
    </xf>
    <xf numFmtId="0" fontId="42" fillId="0" borderId="83" xfId="0" applyFont="1" applyBorder="1" applyAlignment="1">
      <alignment horizontal="right" vertical="center"/>
    </xf>
    <xf numFmtId="0" fontId="49" fillId="0" borderId="107" xfId="0" applyFont="1" applyBorder="1" applyAlignment="1">
      <alignment horizontal="center" vertical="center"/>
    </xf>
    <xf numFmtId="0" fontId="49" fillId="0" borderId="105" xfId="0" applyFont="1" applyBorder="1" applyAlignment="1">
      <alignment horizontal="center" vertical="center"/>
    </xf>
    <xf numFmtId="0" fontId="49" fillId="0" borderId="106" xfId="0" applyFont="1" applyBorder="1" applyAlignment="1">
      <alignment horizontal="center" vertical="center"/>
    </xf>
    <xf numFmtId="41" fontId="49" fillId="0" borderId="104" xfId="0" applyNumberFormat="1" applyFont="1" applyBorder="1" applyAlignment="1">
      <alignment horizontal="right" vertical="center"/>
    </xf>
    <xf numFmtId="41" fontId="49" fillId="0" borderId="105" xfId="0" applyNumberFormat="1" applyFont="1" applyBorder="1" applyAlignment="1">
      <alignment horizontal="right" vertical="center"/>
    </xf>
    <xf numFmtId="41" fontId="49" fillId="0" borderId="106" xfId="0" applyNumberFormat="1" applyFont="1" applyBorder="1" applyAlignment="1">
      <alignment horizontal="right" vertical="center"/>
    </xf>
    <xf numFmtId="0" fontId="49" fillId="0" borderId="104" xfId="0" applyFont="1" applyBorder="1">
      <alignment vertical="center"/>
    </xf>
    <xf numFmtId="0" fontId="49" fillId="0" borderId="105" xfId="0" applyFont="1" applyBorder="1">
      <alignment vertical="center"/>
    </xf>
    <xf numFmtId="0" fontId="46" fillId="5" borderId="4" xfId="0" applyFont="1" applyFill="1" applyBorder="1" applyAlignment="1">
      <alignment horizontal="center" vertical="center" wrapText="1"/>
    </xf>
    <xf numFmtId="0" fontId="46" fillId="5" borderId="4" xfId="0" applyFont="1" applyFill="1" applyBorder="1" applyAlignment="1">
      <alignment horizontal="center" vertical="center"/>
    </xf>
    <xf numFmtId="0" fontId="46" fillId="5" borderId="4" xfId="0" applyFont="1" applyFill="1" applyBorder="1" applyAlignment="1">
      <alignment horizontal="left" vertical="center"/>
    </xf>
    <xf numFmtId="0" fontId="48" fillId="11" borderId="96" xfId="0" applyFont="1" applyFill="1" applyBorder="1" applyAlignment="1">
      <alignment horizontal="center" vertical="center"/>
    </xf>
    <xf numFmtId="0" fontId="48" fillId="11" borderId="97" xfId="0" applyFont="1" applyFill="1" applyBorder="1" applyAlignment="1">
      <alignment horizontal="center" vertical="center"/>
    </xf>
    <xf numFmtId="0" fontId="48" fillId="11" borderId="98" xfId="0" applyFont="1" applyFill="1" applyBorder="1" applyAlignment="1">
      <alignment horizontal="center" vertical="center"/>
    </xf>
    <xf numFmtId="41" fontId="48" fillId="11" borderId="99" xfId="1" applyFont="1" applyFill="1" applyBorder="1" applyAlignment="1">
      <alignment horizontal="right" vertical="center"/>
    </xf>
    <xf numFmtId="41" fontId="48" fillId="11" borderId="97" xfId="1" applyFont="1" applyFill="1" applyBorder="1" applyAlignment="1">
      <alignment horizontal="right" vertical="center"/>
    </xf>
    <xf numFmtId="41" fontId="48" fillId="11" borderId="98" xfId="1" applyFont="1" applyFill="1" applyBorder="1" applyAlignment="1">
      <alignment horizontal="right" vertical="center"/>
    </xf>
    <xf numFmtId="0" fontId="48" fillId="11" borderId="99" xfId="0" applyFont="1" applyFill="1" applyBorder="1">
      <alignment vertical="center"/>
    </xf>
    <xf numFmtId="0" fontId="48" fillId="11" borderId="97" xfId="0" applyFont="1" applyFill="1" applyBorder="1">
      <alignment vertical="center"/>
    </xf>
    <xf numFmtId="0" fontId="48" fillId="11" borderId="100" xfId="0" applyFont="1" applyFill="1" applyBorder="1">
      <alignment vertical="center"/>
    </xf>
    <xf numFmtId="0" fontId="48" fillId="11" borderId="101" xfId="0" applyFont="1" applyFill="1" applyBorder="1" applyAlignment="1">
      <alignment horizontal="center" vertical="center"/>
    </xf>
    <xf numFmtId="0" fontId="48" fillId="11" borderId="102" xfId="0" applyFont="1" applyFill="1" applyBorder="1" applyAlignment="1">
      <alignment horizontal="center" vertical="center"/>
    </xf>
    <xf numFmtId="41" fontId="48" fillId="11" borderId="102" xfId="0" applyNumberFormat="1" applyFont="1" applyFill="1" applyBorder="1" applyAlignment="1">
      <alignment horizontal="right" vertical="center"/>
    </xf>
    <xf numFmtId="0" fontId="48" fillId="11" borderId="102" xfId="0" applyFont="1" applyFill="1" applyBorder="1" applyAlignment="1">
      <alignment horizontal="right" vertical="center"/>
    </xf>
    <xf numFmtId="0" fontId="48" fillId="11" borderId="102" xfId="0" applyFont="1" applyFill="1" applyBorder="1">
      <alignment vertical="center"/>
    </xf>
    <xf numFmtId="0" fontId="48" fillId="11" borderId="103" xfId="0" applyFont="1" applyFill="1" applyBorder="1">
      <alignment vertical="center"/>
    </xf>
    <xf numFmtId="0" fontId="48" fillId="11" borderId="68" xfId="0" applyFont="1" applyFill="1" applyBorder="1" applyAlignment="1">
      <alignment horizontal="center" vertical="center"/>
    </xf>
    <xf numFmtId="0" fontId="48" fillId="11" borderId="92" xfId="0" applyFont="1" applyFill="1" applyBorder="1" applyAlignment="1">
      <alignment horizontal="center" vertical="center"/>
    </xf>
    <xf numFmtId="0" fontId="48" fillId="11" borderId="93" xfId="0" applyFont="1" applyFill="1" applyBorder="1" applyAlignment="1">
      <alignment horizontal="center" vertical="center"/>
    </xf>
    <xf numFmtId="0" fontId="48" fillId="11" borderId="94" xfId="0" applyFont="1" applyFill="1" applyBorder="1" applyAlignment="1">
      <alignment horizontal="right" vertical="center"/>
    </xf>
    <xf numFmtId="0" fontId="48" fillId="11" borderId="68" xfId="0" applyFont="1" applyFill="1" applyBorder="1" applyAlignment="1">
      <alignment horizontal="right" vertical="center"/>
    </xf>
    <xf numFmtId="0" fontId="48" fillId="11" borderId="92" xfId="0" applyFont="1" applyFill="1" applyBorder="1" applyAlignment="1">
      <alignment horizontal="right" vertical="center"/>
    </xf>
    <xf numFmtId="41" fontId="48" fillId="11" borderId="93" xfId="0" applyNumberFormat="1" applyFont="1" applyFill="1" applyBorder="1" applyAlignment="1">
      <alignment horizontal="right" vertical="center"/>
    </xf>
    <xf numFmtId="0" fontId="48" fillId="11" borderId="93" xfId="0" applyFont="1" applyFill="1" applyBorder="1" applyAlignment="1">
      <alignment horizontal="right" vertical="center"/>
    </xf>
    <xf numFmtId="0" fontId="48" fillId="11" borderId="93" xfId="0" applyFont="1" applyFill="1" applyBorder="1" applyAlignment="1">
      <alignment horizontal="left" vertical="center"/>
    </xf>
    <xf numFmtId="0" fontId="48" fillId="11" borderId="95" xfId="0" applyFont="1" applyFill="1" applyBorder="1" applyAlignment="1">
      <alignment horizontal="left" vertical="center"/>
    </xf>
    <xf numFmtId="0" fontId="48" fillId="5" borderId="7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center" vertical="center"/>
    </xf>
    <xf numFmtId="0" fontId="48" fillId="5" borderId="8" xfId="0" applyFont="1" applyFill="1" applyBorder="1" applyAlignment="1">
      <alignment horizontal="center" vertical="center"/>
    </xf>
    <xf numFmtId="41" fontId="48" fillId="5" borderId="7" xfId="1" applyFont="1" applyFill="1" applyBorder="1" applyAlignment="1">
      <alignment horizontal="right" vertical="center"/>
    </xf>
    <xf numFmtId="41" fontId="48" fillId="5" borderId="22" xfId="1" applyFont="1" applyFill="1" applyBorder="1" applyAlignment="1">
      <alignment horizontal="right" vertical="center"/>
    </xf>
    <xf numFmtId="41" fontId="48" fillId="5" borderId="8" xfId="1" applyFont="1" applyFill="1" applyBorder="1" applyAlignment="1">
      <alignment horizontal="right" vertical="center"/>
    </xf>
    <xf numFmtId="0" fontId="48" fillId="5" borderId="7" xfId="0" applyFont="1" applyFill="1" applyBorder="1">
      <alignment vertical="center"/>
    </xf>
    <xf numFmtId="0" fontId="48" fillId="5" borderId="22" xfId="0" applyFont="1" applyFill="1" applyBorder="1">
      <alignment vertical="center"/>
    </xf>
    <xf numFmtId="0" fontId="48" fillId="5" borderId="8" xfId="0" applyFont="1" applyFill="1" applyBorder="1">
      <alignment vertical="center"/>
    </xf>
    <xf numFmtId="41" fontId="46" fillId="5" borderId="4" xfId="1" applyFont="1" applyFill="1" applyBorder="1" applyAlignment="1">
      <alignment horizontal="center" vertical="center"/>
    </xf>
    <xf numFmtId="41" fontId="46" fillId="5" borderId="4" xfId="1" applyFont="1" applyFill="1" applyBorder="1" applyAlignment="1">
      <alignment horizontal="right" vertical="center"/>
    </xf>
    <xf numFmtId="9" fontId="46" fillId="5" borderId="4" xfId="1" applyNumberFormat="1" applyFont="1" applyFill="1" applyBorder="1" applyAlignment="1">
      <alignment horizontal="right" vertical="center"/>
    </xf>
    <xf numFmtId="41" fontId="46" fillId="5" borderId="4" xfId="1" applyFont="1" applyFill="1" applyBorder="1" applyAlignment="1">
      <alignment vertical="center"/>
    </xf>
    <xf numFmtId="9" fontId="46" fillId="5" borderId="7" xfId="0" applyNumberFormat="1" applyFont="1" applyFill="1" applyBorder="1" applyAlignment="1">
      <alignment horizontal="center" vertical="center"/>
    </xf>
    <xf numFmtId="9" fontId="46" fillId="5" borderId="22" xfId="0" applyNumberFormat="1" applyFont="1" applyFill="1" applyBorder="1" applyAlignment="1">
      <alignment horizontal="center" vertical="center"/>
    </xf>
    <xf numFmtId="9" fontId="46" fillId="5" borderId="8" xfId="0" applyNumberFormat="1" applyFont="1" applyFill="1" applyBorder="1" applyAlignment="1">
      <alignment horizontal="center" vertical="center"/>
    </xf>
    <xf numFmtId="0" fontId="48" fillId="11" borderId="73" xfId="0" applyFont="1" applyFill="1" applyBorder="1" applyAlignment="1">
      <alignment horizontal="center" vertical="center"/>
    </xf>
    <xf numFmtId="0" fontId="48" fillId="11" borderId="67" xfId="0" applyFont="1" applyFill="1" applyBorder="1" applyAlignment="1">
      <alignment horizontal="center" vertical="center"/>
    </xf>
    <xf numFmtId="0" fontId="48" fillId="11" borderId="89" xfId="0" applyFont="1" applyFill="1" applyBorder="1" applyAlignment="1">
      <alignment horizontal="center" vertical="center"/>
    </xf>
    <xf numFmtId="0" fontId="48" fillId="11" borderId="87" xfId="0" applyFont="1" applyFill="1" applyBorder="1" applyAlignment="1">
      <alignment horizontal="center" vertical="center"/>
    </xf>
    <xf numFmtId="0" fontId="48" fillId="11" borderId="90" xfId="0" applyFont="1" applyFill="1" applyBorder="1" applyAlignment="1">
      <alignment horizontal="right" vertical="center"/>
    </xf>
    <xf numFmtId="0" fontId="48" fillId="11" borderId="22" xfId="0" applyFont="1" applyFill="1" applyBorder="1" applyAlignment="1">
      <alignment horizontal="right" vertical="center"/>
    </xf>
    <xf numFmtId="0" fontId="48" fillId="11" borderId="91" xfId="0" applyFont="1" applyFill="1" applyBorder="1" applyAlignment="1">
      <alignment horizontal="right" vertical="center"/>
    </xf>
    <xf numFmtId="41" fontId="48" fillId="11" borderId="87" xfId="1" applyFont="1" applyFill="1" applyBorder="1" applyAlignment="1">
      <alignment horizontal="right" vertical="center"/>
    </xf>
    <xf numFmtId="0" fontId="48" fillId="11" borderId="87" xfId="0" applyFont="1" applyFill="1" applyBorder="1" applyAlignment="1">
      <alignment horizontal="left" vertical="center"/>
    </xf>
    <xf numFmtId="0" fontId="48" fillId="11" borderId="88" xfId="0" applyFont="1" applyFill="1" applyBorder="1" applyAlignment="1">
      <alignment horizontal="left" vertical="center"/>
    </xf>
    <xf numFmtId="0" fontId="46" fillId="5" borderId="69" xfId="0" applyFont="1" applyFill="1" applyBorder="1" applyAlignment="1">
      <alignment horizontal="center" vertical="center" textRotation="255"/>
    </xf>
    <xf numFmtId="0" fontId="46" fillId="5" borderId="70" xfId="0" applyFont="1" applyFill="1" applyBorder="1" applyAlignment="1">
      <alignment horizontal="center" vertical="center" textRotation="255"/>
    </xf>
    <xf numFmtId="0" fontId="46" fillId="5" borderId="71" xfId="0" applyFont="1" applyFill="1" applyBorder="1" applyAlignment="1">
      <alignment horizontal="center" vertical="center" textRotation="255"/>
    </xf>
    <xf numFmtId="0" fontId="46" fillId="5" borderId="72" xfId="0" applyFont="1" applyFill="1" applyBorder="1" applyAlignment="1">
      <alignment horizontal="center" vertical="center" textRotation="255"/>
    </xf>
    <xf numFmtId="0" fontId="48" fillId="11" borderId="90" xfId="0" applyFont="1" applyFill="1" applyBorder="1" applyAlignment="1">
      <alignment horizontal="center" vertical="center"/>
    </xf>
    <xf numFmtId="0" fontId="48" fillId="11" borderId="22" xfId="0" applyFont="1" applyFill="1" applyBorder="1" applyAlignment="1">
      <alignment horizontal="center" vertical="center"/>
    </xf>
    <xf numFmtId="0" fontId="48" fillId="11" borderId="91" xfId="0" applyFont="1" applyFill="1" applyBorder="1" applyAlignment="1">
      <alignment horizontal="center" vertical="center"/>
    </xf>
    <xf numFmtId="0" fontId="46" fillId="5" borderId="7" xfId="0" applyFont="1" applyFill="1" applyBorder="1" applyAlignment="1">
      <alignment horizontal="center" vertical="center"/>
    </xf>
    <xf numFmtId="0" fontId="46" fillId="5" borderId="22" xfId="0" applyFont="1" applyFill="1" applyBorder="1" applyAlignment="1">
      <alignment horizontal="center" vertical="center"/>
    </xf>
    <xf numFmtId="0" fontId="46" fillId="5" borderId="8" xfId="0" applyFont="1" applyFill="1" applyBorder="1" applyAlignment="1">
      <alignment horizontal="center" vertical="center"/>
    </xf>
    <xf numFmtId="0" fontId="46" fillId="5" borderId="69" xfId="0" applyFont="1" applyFill="1" applyBorder="1" applyAlignment="1">
      <alignment horizontal="left" vertical="center"/>
    </xf>
    <xf numFmtId="0" fontId="46" fillId="5" borderId="68" xfId="0" applyFont="1" applyFill="1" applyBorder="1" applyAlignment="1">
      <alignment horizontal="left" vertical="center"/>
    </xf>
    <xf numFmtId="0" fontId="46" fillId="5" borderId="70" xfId="0" applyFont="1" applyFill="1" applyBorder="1" applyAlignment="1">
      <alignment horizontal="left" vertical="center"/>
    </xf>
    <xf numFmtId="0" fontId="46" fillId="5" borderId="71" xfId="0" applyFont="1" applyFill="1" applyBorder="1" applyAlignment="1">
      <alignment horizontal="left" vertical="center"/>
    </xf>
    <xf numFmtId="0" fontId="46" fillId="5" borderId="0" xfId="0" applyFont="1" applyFill="1" applyAlignment="1">
      <alignment horizontal="left" vertical="center"/>
    </xf>
    <xf numFmtId="0" fontId="46" fillId="5" borderId="72" xfId="0" applyFont="1" applyFill="1" applyBorder="1" applyAlignment="1">
      <alignment horizontal="left" vertical="center"/>
    </xf>
    <xf numFmtId="0" fontId="46" fillId="5" borderId="73" xfId="0" applyFont="1" applyFill="1" applyBorder="1" applyAlignment="1">
      <alignment horizontal="left" vertical="center"/>
    </xf>
    <xf numFmtId="0" fontId="46" fillId="5" borderId="67" xfId="0" applyFont="1" applyFill="1" applyBorder="1" applyAlignment="1">
      <alignment horizontal="left" vertical="center"/>
    </xf>
    <xf numFmtId="0" fontId="46" fillId="5" borderId="74" xfId="0" applyFont="1" applyFill="1" applyBorder="1" applyAlignment="1">
      <alignment horizontal="left" vertical="center"/>
    </xf>
    <xf numFmtId="0" fontId="48" fillId="11" borderId="88" xfId="0" applyFont="1" applyFill="1" applyBorder="1" applyAlignment="1">
      <alignment horizontal="center" vertical="center"/>
    </xf>
    <xf numFmtId="0" fontId="48" fillId="11" borderId="86" xfId="0" applyFont="1" applyFill="1" applyBorder="1" applyAlignment="1">
      <alignment horizontal="center" vertical="center"/>
    </xf>
    <xf numFmtId="41" fontId="46" fillId="5" borderId="7" xfId="0" applyNumberFormat="1" applyFont="1" applyFill="1" applyBorder="1" applyAlignment="1">
      <alignment horizontal="center" vertical="center"/>
    </xf>
    <xf numFmtId="0" fontId="47" fillId="5" borderId="4" xfId="3" applyFill="1" applyBorder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</cellXfs>
  <cellStyles count="5">
    <cellStyle name="백분율" xfId="2" builtinId="5"/>
    <cellStyle name="쉼표 [0]" xfId="1" builtinId="6"/>
    <cellStyle name="통화 [0]" xfId="4" builtinId="7"/>
    <cellStyle name="표준" xfId="0" builtinId="0"/>
    <cellStyle name="하이퍼링크" xfId="3" builtinId="8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107673</xdr:colOff>
      <xdr:row>1</xdr:row>
      <xdr:rowOff>165652</xdr:rowOff>
    </xdr:from>
    <xdr:to>
      <xdr:col>7</xdr:col>
      <xdr:colOff>759464</xdr:colOff>
      <xdr:row>4</xdr:row>
      <xdr:rowOff>167609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7586" y="679174"/>
          <a:ext cx="651791" cy="64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1888434</xdr:colOff>
      <xdr:row>1</xdr:row>
      <xdr:rowOff>107673</xdr:rowOff>
    </xdr:from>
    <xdr:to>
      <xdr:col>7</xdr:col>
      <xdr:colOff>552399</xdr:colOff>
      <xdr:row>4</xdr:row>
      <xdr:rowOff>109630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5151" y="621195"/>
          <a:ext cx="651791" cy="6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lddettkh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G243"/>
  <sheetViews>
    <sheetView tabSelected="1" topLeftCell="E1" zoomScale="70" zoomScaleNormal="70" zoomScaleSheetLayoutView="70" workbookViewId="0">
      <selection activeCell="Z10" sqref="Z10"/>
    </sheetView>
  </sheetViews>
  <sheetFormatPr defaultRowHeight="16.5" x14ac:dyDescent="0.3"/>
  <cols>
    <col min="1" max="1" width="7.75" customWidth="1"/>
    <col min="2" max="2" width="11" customWidth="1"/>
    <col min="3" max="3" width="14.5" customWidth="1"/>
    <col min="4" max="4" width="14.25" bestFit="1" customWidth="1"/>
    <col min="5" max="5" width="15" customWidth="1"/>
    <col min="6" max="6" width="16.125" customWidth="1"/>
    <col min="7" max="7" width="18.5" customWidth="1"/>
    <col min="8" max="8" width="15.5" bestFit="1" customWidth="1"/>
    <col min="9" max="9" width="18.75" bestFit="1" customWidth="1"/>
    <col min="10" max="10" width="17.875" bestFit="1" customWidth="1"/>
    <col min="11" max="11" width="17.875" customWidth="1"/>
    <col min="12" max="12" width="18.75" customWidth="1"/>
    <col min="13" max="16" width="12.25" hidden="1" customWidth="1"/>
    <col min="17" max="17" width="15.625" hidden="1" customWidth="1"/>
    <col min="18" max="20" width="12.25" hidden="1" customWidth="1"/>
    <col min="21" max="21" width="14.25" hidden="1" customWidth="1"/>
    <col min="22" max="22" width="24.5" bestFit="1" customWidth="1"/>
    <col min="23" max="23" width="21.5" customWidth="1"/>
    <col min="25" max="25" width="13.625" bestFit="1" customWidth="1"/>
    <col min="26" max="26" width="14.625" bestFit="1" customWidth="1"/>
    <col min="27" max="27" width="10.875" bestFit="1" customWidth="1"/>
    <col min="28" max="28" width="13" bestFit="1" customWidth="1"/>
    <col min="29" max="29" width="11.75" bestFit="1" customWidth="1"/>
  </cols>
  <sheetData>
    <row r="1" spans="1:33" ht="84.75" customHeight="1" thickBot="1" x14ac:dyDescent="0.35">
      <c r="A1" s="220" t="s">
        <v>285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2"/>
      <c r="Y1" s="140" t="s">
        <v>100</v>
      </c>
      <c r="Z1" s="141" t="s">
        <v>99</v>
      </c>
      <c r="AB1" s="216" t="s">
        <v>104</v>
      </c>
      <c r="AC1" s="216"/>
      <c r="AD1" s="216"/>
      <c r="AE1" s="216"/>
    </row>
    <row r="2" spans="1:33" s="31" customFormat="1" ht="3.75" customHeight="1" thickBot="1" x14ac:dyDescent="0.35">
      <c r="A2" s="35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33" ht="64.5" customHeight="1" thickTop="1" thickBot="1" x14ac:dyDescent="0.35">
      <c r="A3" s="68" t="s">
        <v>23</v>
      </c>
      <c r="B3" s="86" t="s">
        <v>274</v>
      </c>
      <c r="C3" s="69" t="s">
        <v>48</v>
      </c>
      <c r="D3" s="70" t="s">
        <v>53</v>
      </c>
      <c r="E3" s="71" t="s">
        <v>49</v>
      </c>
      <c r="F3" s="72" t="s">
        <v>50</v>
      </c>
      <c r="G3" s="73" t="s">
        <v>51</v>
      </c>
      <c r="H3" s="90" t="s">
        <v>69</v>
      </c>
      <c r="I3" s="94" t="s">
        <v>68</v>
      </c>
      <c r="J3" s="74" t="s">
        <v>284</v>
      </c>
      <c r="K3" s="75" t="s">
        <v>282</v>
      </c>
      <c r="L3" s="75" t="s">
        <v>52</v>
      </c>
      <c r="M3" s="21" t="s">
        <v>44</v>
      </c>
      <c r="N3" s="18" t="s">
        <v>56</v>
      </c>
      <c r="O3" s="18" t="s">
        <v>59</v>
      </c>
      <c r="P3" s="18" t="s">
        <v>58</v>
      </c>
      <c r="Q3" s="79" t="s">
        <v>36</v>
      </c>
      <c r="R3" s="79" t="s">
        <v>55</v>
      </c>
      <c r="S3" s="18" t="s">
        <v>60</v>
      </c>
      <c r="T3" s="18" t="s">
        <v>57</v>
      </c>
      <c r="U3" s="18" t="s">
        <v>38</v>
      </c>
      <c r="V3" s="223" t="s">
        <v>62</v>
      </c>
      <c r="W3" s="224"/>
      <c r="Y3" s="139"/>
      <c r="Z3" s="139"/>
    </row>
    <row r="4" spans="1:33" ht="35.25" customHeight="1" thickTop="1" x14ac:dyDescent="0.3">
      <c r="A4" s="2" t="s">
        <v>33</v>
      </c>
      <c r="B4" s="1">
        <f>(W5*365*W4)</f>
        <v>221920</v>
      </c>
      <c r="C4" s="1">
        <f t="shared" ref="C4:C23" si="0">B4*$W$6</f>
        <v>26852320</v>
      </c>
      <c r="D4" s="6">
        <f t="shared" ref="D4:D23" si="1">B4*$W$8*$W$7</f>
        <v>23967360</v>
      </c>
      <c r="E4" s="10">
        <f>C4+D4</f>
        <v>50819680</v>
      </c>
      <c r="F4" s="8">
        <f>(C4+D4)*0.03</f>
        <v>1524590.4</v>
      </c>
      <c r="G4" s="213">
        <f>C4+D4-F4</f>
        <v>49295089.600000001</v>
      </c>
      <c r="H4" s="211">
        <f t="shared" ref="H4:H23" si="2">G4/12</f>
        <v>4107924.1333333333</v>
      </c>
      <c r="I4" s="212">
        <f>G4</f>
        <v>49295089.600000001</v>
      </c>
      <c r="J4" s="129">
        <f>SUM(U4:U15)</f>
        <v>8892000</v>
      </c>
      <c r="K4" s="202">
        <f>G4-J4</f>
        <v>40403089.600000001</v>
      </c>
      <c r="L4" s="130">
        <f>G4-SUM(U4:U15)</f>
        <v>40403089.600000001</v>
      </c>
      <c r="M4" s="22">
        <v>1</v>
      </c>
      <c r="N4" s="76">
        <f t="shared" ref="N4:N67" si="3">EDATE($Z$13,M4)</f>
        <v>44228</v>
      </c>
      <c r="O4" s="77">
        <f>IF(M4&lt;=$W$17,0,(IF(M4&lt;=$Z$12,R4-P4,0)))</f>
        <v>0</v>
      </c>
      <c r="P4" s="77">
        <f>$W$14*$W$15/12</f>
        <v>741000</v>
      </c>
      <c r="Q4" s="24">
        <f t="shared" ref="Q4:Q67" si="4">IF(T4&gt;0,P4,IF(S4&gt;0,P4,0))</f>
        <v>741000</v>
      </c>
      <c r="R4" s="77">
        <f>IF(M4&gt;SUM($W$16:$W$17),0,SUM(O4,Q4))</f>
        <v>741000</v>
      </c>
      <c r="S4" s="19">
        <f>IF(M4&lt;=$W$17,0,(IF(M4&lt;=$Z$12,$Z$14,0)))</f>
        <v>0</v>
      </c>
      <c r="T4" s="77">
        <f>$W$14</f>
        <v>197600000</v>
      </c>
      <c r="U4" s="19">
        <f>O4+Q4</f>
        <v>741000</v>
      </c>
      <c r="V4" s="37" t="s">
        <v>0</v>
      </c>
      <c r="W4" s="38">
        <f>Z4</f>
        <v>152</v>
      </c>
      <c r="Y4" s="123" t="s">
        <v>24</v>
      </c>
      <c r="Z4" s="124">
        <v>152</v>
      </c>
    </row>
    <row r="5" spans="1:33" ht="35.25" customHeight="1" x14ac:dyDescent="0.3">
      <c r="A5" s="3" t="s">
        <v>1</v>
      </c>
      <c r="B5" s="4">
        <f>B4*0.99</f>
        <v>219700.8</v>
      </c>
      <c r="C5" s="4">
        <f t="shared" si="0"/>
        <v>26583796.799999997</v>
      </c>
      <c r="D5" s="7">
        <f t="shared" si="1"/>
        <v>23727686.399999999</v>
      </c>
      <c r="E5" s="11">
        <f t="shared" ref="E5:E23" si="5">C5+D5</f>
        <v>50311483.199999996</v>
      </c>
      <c r="F5" s="9">
        <f t="shared" ref="F5:F23" si="6">(C5+D5)*0.03</f>
        <v>1509344.4959999998</v>
      </c>
      <c r="G5" s="213">
        <f t="shared" ref="G5:G23" si="7">C5+D5-F5</f>
        <v>48802138.703999996</v>
      </c>
      <c r="H5" s="92">
        <f t="shared" si="2"/>
        <v>4066844.8919999995</v>
      </c>
      <c r="I5" s="96">
        <f>SUM(G4:G5)</f>
        <v>98097228.30399999</v>
      </c>
      <c r="J5" s="154">
        <f>SUM(U16:U27)</f>
        <v>24574739.484463468</v>
      </c>
      <c r="K5" s="154">
        <f t="shared" ref="K5:K14" si="8">G5-J5</f>
        <v>24227399.219536528</v>
      </c>
      <c r="L5" s="27">
        <f>SUM($G$4:G5)-SUM($U$4:U27)</f>
        <v>64630488.819536522</v>
      </c>
      <c r="M5" s="23">
        <v>2</v>
      </c>
      <c r="N5" s="76">
        <f t="shared" si="3"/>
        <v>44256</v>
      </c>
      <c r="O5" s="77">
        <f>IF(M5&lt;=$W$17,0,(IF(M5&lt;=$Z$12,R5-P5,0)))</f>
        <v>0</v>
      </c>
      <c r="P5" s="77">
        <f>$W$14*$W$15/12</f>
        <v>741000</v>
      </c>
      <c r="Q5" s="24">
        <f t="shared" si="4"/>
        <v>741000</v>
      </c>
      <c r="R5" s="77">
        <f>IF(M5&gt;SUM($W$16:$W$17),0,SUM(O5,Q5))</f>
        <v>741000</v>
      </c>
      <c r="S5" s="19">
        <f t="shared" ref="S5:S68" si="9">IF(M5&gt;$Z$12,0,(IF(M5&lt;=$W$17,0,$Z$14)))</f>
        <v>0</v>
      </c>
      <c r="T5" s="77">
        <f t="shared" ref="T5:T68" si="10">T4-O5</f>
        <v>197600000</v>
      </c>
      <c r="U5" s="19">
        <f>O5+Q5</f>
        <v>741000</v>
      </c>
      <c r="V5" s="39" t="s">
        <v>29</v>
      </c>
      <c r="W5" s="40">
        <f>Z5</f>
        <v>4</v>
      </c>
      <c r="Y5" s="58" t="s">
        <v>25</v>
      </c>
      <c r="Z5" s="59">
        <v>4</v>
      </c>
      <c r="AB5" s="87" t="s">
        <v>63</v>
      </c>
      <c r="AC5" s="87" t="s">
        <v>64</v>
      </c>
      <c r="AD5" s="87" t="s">
        <v>65</v>
      </c>
      <c r="AE5" s="87" t="s">
        <v>66</v>
      </c>
    </row>
    <row r="6" spans="1:33" ht="35.25" customHeight="1" x14ac:dyDescent="0.3">
      <c r="A6" s="2" t="s">
        <v>2</v>
      </c>
      <c r="B6" s="1">
        <f>B5*0.996</f>
        <v>218821.99679999999</v>
      </c>
      <c r="C6" s="1">
        <f t="shared" si="0"/>
        <v>26477461.612799998</v>
      </c>
      <c r="D6" s="6">
        <f t="shared" si="1"/>
        <v>23632775.654399998</v>
      </c>
      <c r="E6" s="10">
        <f t="shared" si="5"/>
        <v>50110237.267199993</v>
      </c>
      <c r="F6" s="8">
        <f t="shared" si="6"/>
        <v>1503307.1180159997</v>
      </c>
      <c r="G6" s="213">
        <f t="shared" si="7"/>
        <v>48606930.149183996</v>
      </c>
      <c r="H6" s="91">
        <f t="shared" si="2"/>
        <v>4050577.5124319997</v>
      </c>
      <c r="I6" s="95">
        <f t="shared" ref="I6:I23" si="11">I5+G6</f>
        <v>146704158.45318398</v>
      </c>
      <c r="J6" s="129">
        <f>SUM(U28:U39)</f>
        <v>24574739.484463468</v>
      </c>
      <c r="K6" s="202">
        <f t="shared" si="8"/>
        <v>24032190.664720528</v>
      </c>
      <c r="L6" s="26">
        <f>SUM($G$4:G6)-SUM($U$4:U39)</f>
        <v>88662679.484256998</v>
      </c>
      <c r="M6" s="22">
        <v>3</v>
      </c>
      <c r="N6" s="76">
        <f t="shared" si="3"/>
        <v>44287</v>
      </c>
      <c r="O6" s="77">
        <f t="shared" ref="O6:O69" si="12">IF(M6&lt;=$W$17,0,(IF(M6&lt;=$Z$12,S6-P6,0)))</f>
        <v>0</v>
      </c>
      <c r="P6" s="77">
        <f t="shared" ref="P6:P69" si="13">T5*$W$15/12</f>
        <v>741000</v>
      </c>
      <c r="Q6" s="24">
        <f t="shared" si="4"/>
        <v>741000</v>
      </c>
      <c r="R6" s="77">
        <f t="shared" ref="R6:R69" si="14">IF(M6&gt;SUM($W$16:$W$17),0,SUM(O6,Q6))</f>
        <v>741000</v>
      </c>
      <c r="S6" s="19">
        <f t="shared" si="9"/>
        <v>0</v>
      </c>
      <c r="T6" s="77">
        <f t="shared" si="10"/>
        <v>197600000</v>
      </c>
      <c r="U6" s="19">
        <f t="shared" ref="U6:U69" si="15">O6+Q6</f>
        <v>741000</v>
      </c>
      <c r="V6" s="39" t="s">
        <v>30</v>
      </c>
      <c r="W6" s="40">
        <f>SUM(Z6)</f>
        <v>121</v>
      </c>
      <c r="Y6" s="125" t="s">
        <v>26</v>
      </c>
      <c r="Z6" s="126">
        <v>121</v>
      </c>
      <c r="AB6" s="87">
        <v>154.411</v>
      </c>
      <c r="AC6" s="88">
        <v>139.41200000000001</v>
      </c>
      <c r="AD6" s="87">
        <v>141.464</v>
      </c>
      <c r="AE6" s="87">
        <v>139.74199999999999</v>
      </c>
    </row>
    <row r="7" spans="1:33" ht="35.25" customHeight="1" x14ac:dyDescent="0.3">
      <c r="A7" s="3" t="s">
        <v>3</v>
      </c>
      <c r="B7" s="1">
        <f t="shared" ref="B7:B23" si="16">B6*0.996</f>
        <v>217946.7088128</v>
      </c>
      <c r="C7" s="4">
        <f t="shared" si="0"/>
        <v>26371551.766348802</v>
      </c>
      <c r="D7" s="7">
        <f t="shared" si="1"/>
        <v>23538244.551782399</v>
      </c>
      <c r="E7" s="11">
        <f t="shared" si="5"/>
        <v>49909796.318131201</v>
      </c>
      <c r="F7" s="9">
        <f t="shared" si="6"/>
        <v>1497293.8895439359</v>
      </c>
      <c r="G7" s="213">
        <f t="shared" si="7"/>
        <v>48412502.428587265</v>
      </c>
      <c r="H7" s="92">
        <f t="shared" si="2"/>
        <v>4034375.2023822721</v>
      </c>
      <c r="I7" s="96">
        <f t="shared" si="11"/>
        <v>195116660.88177124</v>
      </c>
      <c r="J7" s="154">
        <f>SUM(U40:U51)</f>
        <v>24574739.484463468</v>
      </c>
      <c r="K7" s="154">
        <f t="shared" si="8"/>
        <v>23837762.944123797</v>
      </c>
      <c r="L7" s="27">
        <f>SUM($G$4:G7)-SUM($U$4:U51)</f>
        <v>112500442.42838074</v>
      </c>
      <c r="M7" s="23">
        <v>4</v>
      </c>
      <c r="N7" s="76">
        <f t="shared" si="3"/>
        <v>44317</v>
      </c>
      <c r="O7" s="77">
        <f t="shared" si="12"/>
        <v>0</v>
      </c>
      <c r="P7" s="77">
        <f t="shared" si="13"/>
        <v>741000</v>
      </c>
      <c r="Q7" s="24">
        <f t="shared" si="4"/>
        <v>741000</v>
      </c>
      <c r="R7" s="77">
        <f t="shared" si="14"/>
        <v>741000</v>
      </c>
      <c r="S7" s="19">
        <f t="shared" si="9"/>
        <v>0</v>
      </c>
      <c r="T7" s="77">
        <f t="shared" si="10"/>
        <v>197600000</v>
      </c>
      <c r="U7" s="19">
        <f t="shared" si="15"/>
        <v>741000</v>
      </c>
      <c r="V7" s="39" t="s">
        <v>31</v>
      </c>
      <c r="W7" s="40">
        <v>72</v>
      </c>
      <c r="Y7" s="125" t="s">
        <v>27</v>
      </c>
      <c r="Z7" s="126">
        <v>72</v>
      </c>
      <c r="AB7" s="87">
        <v>81.91</v>
      </c>
      <c r="AC7" s="87">
        <v>81.91</v>
      </c>
      <c r="AD7" s="87">
        <v>81.91</v>
      </c>
      <c r="AE7" s="87">
        <v>81.91</v>
      </c>
    </row>
    <row r="8" spans="1:33" ht="35.25" customHeight="1" thickBot="1" x14ac:dyDescent="0.35">
      <c r="A8" s="2" t="s">
        <v>4</v>
      </c>
      <c r="B8" s="1">
        <f t="shared" si="16"/>
        <v>217074.9219775488</v>
      </c>
      <c r="C8" s="1">
        <f t="shared" si="0"/>
        <v>26266065.559283406</v>
      </c>
      <c r="D8" s="6">
        <f t="shared" si="1"/>
        <v>23444091.573575269</v>
      </c>
      <c r="E8" s="10">
        <f t="shared" si="5"/>
        <v>49710157.132858679</v>
      </c>
      <c r="F8" s="8">
        <f t="shared" si="6"/>
        <v>1491304.7139857602</v>
      </c>
      <c r="G8" s="213">
        <f t="shared" si="7"/>
        <v>48218852.418872915</v>
      </c>
      <c r="H8" s="91">
        <f t="shared" si="2"/>
        <v>4018237.7015727428</v>
      </c>
      <c r="I8" s="95">
        <f t="shared" si="11"/>
        <v>243335513.30064416</v>
      </c>
      <c r="J8" s="129">
        <f>SUM(U52:U63)</f>
        <v>24574739.484463468</v>
      </c>
      <c r="K8" s="202">
        <f t="shared" si="8"/>
        <v>23644112.934409447</v>
      </c>
      <c r="L8" s="26">
        <f>SUM($G$4:G8)-SUM($U$4:U63)</f>
        <v>136144555.36279017</v>
      </c>
      <c r="M8" s="22">
        <v>5</v>
      </c>
      <c r="N8" s="76">
        <f t="shared" si="3"/>
        <v>44348</v>
      </c>
      <c r="O8" s="77">
        <f t="shared" si="12"/>
        <v>0</v>
      </c>
      <c r="P8" s="77">
        <f t="shared" si="13"/>
        <v>741000</v>
      </c>
      <c r="Q8" s="24">
        <f t="shared" si="4"/>
        <v>741000</v>
      </c>
      <c r="R8" s="77">
        <f t="shared" si="14"/>
        <v>741000</v>
      </c>
      <c r="S8" s="19">
        <f t="shared" si="9"/>
        <v>0</v>
      </c>
      <c r="T8" s="77">
        <f t="shared" si="10"/>
        <v>197600000</v>
      </c>
      <c r="U8" s="19">
        <f t="shared" si="15"/>
        <v>741000</v>
      </c>
      <c r="V8" s="41" t="s">
        <v>32</v>
      </c>
      <c r="W8" s="40">
        <f>Z8</f>
        <v>1.5</v>
      </c>
      <c r="Y8" s="58" t="s">
        <v>28</v>
      </c>
      <c r="Z8" s="59">
        <v>1.5</v>
      </c>
      <c r="AB8" s="87">
        <f>AB6-AB7</f>
        <v>72.501000000000005</v>
      </c>
      <c r="AC8" s="87">
        <f>AC6-AC7</f>
        <v>57.50200000000001</v>
      </c>
      <c r="AD8" s="87">
        <f>AD6-AD7</f>
        <v>59.554000000000002</v>
      </c>
      <c r="AE8" s="87">
        <f>AE6-AE7</f>
        <v>57.831999999999994</v>
      </c>
    </row>
    <row r="9" spans="1:33" ht="35.25" customHeight="1" x14ac:dyDescent="0.3">
      <c r="A9" s="3" t="s">
        <v>5</v>
      </c>
      <c r="B9" s="1">
        <f t="shared" si="16"/>
        <v>216206.62228963862</v>
      </c>
      <c r="C9" s="4">
        <f t="shared" si="0"/>
        <v>26161001.297046274</v>
      </c>
      <c r="D9" s="7">
        <f t="shared" si="1"/>
        <v>23350315.207280971</v>
      </c>
      <c r="E9" s="11">
        <f t="shared" si="5"/>
        <v>49511316.504327245</v>
      </c>
      <c r="F9" s="9">
        <f t="shared" si="6"/>
        <v>1485339.4951298174</v>
      </c>
      <c r="G9" s="215">
        <f t="shared" si="7"/>
        <v>48025977.009197429</v>
      </c>
      <c r="H9" s="92">
        <f t="shared" si="2"/>
        <v>4002164.7507664524</v>
      </c>
      <c r="I9" s="96">
        <f t="shared" si="11"/>
        <v>291361490.30984157</v>
      </c>
      <c r="J9" s="154">
        <f>SUM(U64:U75)</f>
        <v>24574739.484463468</v>
      </c>
      <c r="K9" s="154">
        <f t="shared" si="8"/>
        <v>23451237.524733961</v>
      </c>
      <c r="L9" s="27">
        <f>SUM($G$4:G9)-SUM($U$4:U75)</f>
        <v>159595792.88752407</v>
      </c>
      <c r="M9" s="23">
        <v>6</v>
      </c>
      <c r="N9" s="76">
        <f t="shared" si="3"/>
        <v>44378</v>
      </c>
      <c r="O9" s="77">
        <f t="shared" si="12"/>
        <v>0</v>
      </c>
      <c r="P9" s="77">
        <f t="shared" si="13"/>
        <v>741000</v>
      </c>
      <c r="Q9" s="24">
        <f t="shared" si="4"/>
        <v>741000</v>
      </c>
      <c r="R9" s="77">
        <f t="shared" si="14"/>
        <v>741000</v>
      </c>
      <c r="S9" s="19">
        <f t="shared" si="9"/>
        <v>0</v>
      </c>
      <c r="T9" s="77">
        <f t="shared" si="10"/>
        <v>197600000</v>
      </c>
      <c r="U9" s="19">
        <f t="shared" si="15"/>
        <v>741000</v>
      </c>
      <c r="V9" s="225" t="s">
        <v>41</v>
      </c>
      <c r="W9" s="226"/>
      <c r="Y9" s="58" t="s">
        <v>94</v>
      </c>
      <c r="Z9" s="151">
        <v>1300000</v>
      </c>
    </row>
    <row r="10" spans="1:33" ht="35.25" customHeight="1" thickBot="1" x14ac:dyDescent="0.35">
      <c r="A10" s="2" t="s">
        <v>6</v>
      </c>
      <c r="B10" s="1">
        <f t="shared" si="16"/>
        <v>215341.79580048006</v>
      </c>
      <c r="C10" s="1">
        <f t="shared" si="0"/>
        <v>26056357.291858088</v>
      </c>
      <c r="D10" s="6">
        <f t="shared" si="1"/>
        <v>23256913.946451847</v>
      </c>
      <c r="E10" s="10">
        <f t="shared" si="5"/>
        <v>49313271.238309935</v>
      </c>
      <c r="F10" s="8">
        <f t="shared" si="6"/>
        <v>1479398.1371492981</v>
      </c>
      <c r="G10" s="213">
        <f t="shared" si="7"/>
        <v>47833873.101160638</v>
      </c>
      <c r="H10" s="91">
        <f t="shared" si="2"/>
        <v>3986156.0917633865</v>
      </c>
      <c r="I10" s="95">
        <f t="shared" si="11"/>
        <v>339195363.41100222</v>
      </c>
      <c r="J10" s="129">
        <f>SUM(U76:U87)</f>
        <v>24574739.484463468</v>
      </c>
      <c r="K10" s="202">
        <f t="shared" si="8"/>
        <v>23259133.61669717</v>
      </c>
      <c r="L10" s="26">
        <f>SUM($G$4:G10)-SUM($U$3:U86)</f>
        <v>184902821.46125996</v>
      </c>
      <c r="M10" s="22">
        <v>7</v>
      </c>
      <c r="N10" s="76">
        <f t="shared" si="3"/>
        <v>44409</v>
      </c>
      <c r="O10" s="77">
        <f t="shared" si="12"/>
        <v>0</v>
      </c>
      <c r="P10" s="77">
        <f t="shared" si="13"/>
        <v>741000</v>
      </c>
      <c r="Q10" s="24">
        <f t="shared" si="4"/>
        <v>741000</v>
      </c>
      <c r="R10" s="77">
        <f t="shared" si="14"/>
        <v>741000</v>
      </c>
      <c r="S10" s="19">
        <f t="shared" si="9"/>
        <v>0</v>
      </c>
      <c r="T10" s="77">
        <f t="shared" si="10"/>
        <v>197600000</v>
      </c>
      <c r="U10" s="19">
        <f t="shared" si="15"/>
        <v>741000</v>
      </c>
      <c r="V10" s="42" t="s">
        <v>70</v>
      </c>
      <c r="W10" s="43">
        <f>SUM(Z9*Z4)</f>
        <v>197600000</v>
      </c>
      <c r="Y10" s="63" t="s">
        <v>47</v>
      </c>
      <c r="Z10" s="89"/>
      <c r="AB10" s="144" t="s">
        <v>101</v>
      </c>
      <c r="AC10" s="150">
        <v>1050000</v>
      </c>
      <c r="AD10" s="148" t="s">
        <v>107</v>
      </c>
    </row>
    <row r="11" spans="1:33" ht="35.25" customHeight="1" thickTop="1" x14ac:dyDescent="0.3">
      <c r="A11" s="3" t="s">
        <v>7</v>
      </c>
      <c r="B11" s="1">
        <f t="shared" si="16"/>
        <v>214480.42861727814</v>
      </c>
      <c r="C11" s="4">
        <f t="shared" si="0"/>
        <v>25952131.862690654</v>
      </c>
      <c r="D11" s="7">
        <f t="shared" si="1"/>
        <v>23163886.29066604</v>
      </c>
      <c r="E11" s="11">
        <f t="shared" si="5"/>
        <v>49116018.153356694</v>
      </c>
      <c r="F11" s="9">
        <f t="shared" si="6"/>
        <v>1473480.5446007007</v>
      </c>
      <c r="G11" s="213">
        <f t="shared" si="7"/>
        <v>47642537.608755991</v>
      </c>
      <c r="H11" s="92">
        <f t="shared" si="2"/>
        <v>3970211.4673963324</v>
      </c>
      <c r="I11" s="96">
        <f t="shared" si="11"/>
        <v>386837901.01975822</v>
      </c>
      <c r="J11" s="154">
        <f>SUM(U88:U99)</f>
        <v>24574739.484463468</v>
      </c>
      <c r="K11" s="154">
        <f t="shared" si="8"/>
        <v>23067798.124292523</v>
      </c>
      <c r="L11" s="27">
        <f>SUM($G$4:G11)-SUM($U$4:U99)</f>
        <v>205922724.62851402</v>
      </c>
      <c r="M11" s="23">
        <v>8</v>
      </c>
      <c r="N11" s="76">
        <f t="shared" si="3"/>
        <v>44440</v>
      </c>
      <c r="O11" s="77">
        <f t="shared" si="12"/>
        <v>0</v>
      </c>
      <c r="P11" s="77">
        <f t="shared" si="13"/>
        <v>741000</v>
      </c>
      <c r="Q11" s="24">
        <f t="shared" si="4"/>
        <v>741000</v>
      </c>
      <c r="R11" s="77">
        <f t="shared" si="14"/>
        <v>741000</v>
      </c>
      <c r="S11" s="19">
        <f t="shared" si="9"/>
        <v>0</v>
      </c>
      <c r="T11" s="77">
        <f t="shared" si="10"/>
        <v>197600000</v>
      </c>
      <c r="U11" s="19">
        <f t="shared" si="15"/>
        <v>741000</v>
      </c>
      <c r="V11" s="44" t="s">
        <v>71</v>
      </c>
      <c r="W11" s="43">
        <f>SUM(W10*0.1)</f>
        <v>19760000</v>
      </c>
      <c r="Y11" s="64" t="s">
        <v>37</v>
      </c>
      <c r="Z11" s="65">
        <f>W14/365*W15*30*12</f>
        <v>8770191.7808219176</v>
      </c>
      <c r="AB11" s="145" t="s">
        <v>99</v>
      </c>
      <c r="AC11" s="151">
        <v>950000</v>
      </c>
    </row>
    <row r="12" spans="1:33" ht="35.25" customHeight="1" thickBot="1" x14ac:dyDescent="0.35">
      <c r="A12" s="2" t="s">
        <v>8</v>
      </c>
      <c r="B12" s="1">
        <f t="shared" si="16"/>
        <v>213622.50690280902</v>
      </c>
      <c r="C12" s="1">
        <f t="shared" si="0"/>
        <v>25848323.335239891</v>
      </c>
      <c r="D12" s="6">
        <f t="shared" si="1"/>
        <v>23071230.745503373</v>
      </c>
      <c r="E12" s="10">
        <f t="shared" si="5"/>
        <v>48919554.080743268</v>
      </c>
      <c r="F12" s="8">
        <f t="shared" si="6"/>
        <v>1467586.622422298</v>
      </c>
      <c r="G12" s="213">
        <f t="shared" si="7"/>
        <v>47451967.458320968</v>
      </c>
      <c r="H12" s="91">
        <f t="shared" si="2"/>
        <v>3954330.6215267475</v>
      </c>
      <c r="I12" s="95">
        <f t="shared" si="11"/>
        <v>434289868.4780792</v>
      </c>
      <c r="J12" s="129">
        <f>SUM(U100:U111)</f>
        <v>24574739.484463468</v>
      </c>
      <c r="K12" s="202">
        <f t="shared" si="8"/>
        <v>22877227.9738575</v>
      </c>
      <c r="L12" s="26">
        <f>SUM($G$4:G12)-SUM($U$4:U111)</f>
        <v>228799952.60237166</v>
      </c>
      <c r="M12" s="22">
        <v>9</v>
      </c>
      <c r="N12" s="76">
        <f t="shared" si="3"/>
        <v>44470</v>
      </c>
      <c r="O12" s="77">
        <f t="shared" si="12"/>
        <v>0</v>
      </c>
      <c r="P12" s="77">
        <f t="shared" si="13"/>
        <v>741000</v>
      </c>
      <c r="Q12" s="24">
        <f t="shared" si="4"/>
        <v>741000</v>
      </c>
      <c r="R12" s="77">
        <f t="shared" si="14"/>
        <v>741000</v>
      </c>
      <c r="S12" s="19">
        <f t="shared" si="9"/>
        <v>0</v>
      </c>
      <c r="T12" s="77">
        <f t="shared" si="10"/>
        <v>197600000</v>
      </c>
      <c r="U12" s="19">
        <f t="shared" si="15"/>
        <v>741000</v>
      </c>
      <c r="V12" s="45" t="s">
        <v>10</v>
      </c>
      <c r="W12" s="46">
        <f>W10+W11</f>
        <v>217360000</v>
      </c>
      <c r="Y12" s="66" t="s">
        <v>45</v>
      </c>
      <c r="Z12" s="67">
        <f>W17+W16</f>
        <v>132</v>
      </c>
      <c r="AB12" s="146"/>
      <c r="AC12" s="152"/>
    </row>
    <row r="13" spans="1:33" ht="35.25" customHeight="1" thickBot="1" x14ac:dyDescent="0.35">
      <c r="A13" s="3" t="s">
        <v>9</v>
      </c>
      <c r="B13" s="1">
        <f t="shared" si="16"/>
        <v>212768.01687519779</v>
      </c>
      <c r="C13" s="4">
        <f t="shared" si="0"/>
        <v>25744930.041898932</v>
      </c>
      <c r="D13" s="7">
        <f t="shared" si="1"/>
        <v>22978945.822521362</v>
      </c>
      <c r="E13" s="11">
        <f t="shared" si="5"/>
        <v>48723875.864420295</v>
      </c>
      <c r="F13" s="9">
        <f t="shared" si="6"/>
        <v>1461716.2759326089</v>
      </c>
      <c r="G13" s="213">
        <f t="shared" si="7"/>
        <v>47262159.588487685</v>
      </c>
      <c r="H13" s="92">
        <f t="shared" si="2"/>
        <v>3938513.2990406402</v>
      </c>
      <c r="I13" s="96">
        <f t="shared" si="11"/>
        <v>481552028.06656688</v>
      </c>
      <c r="J13" s="154">
        <f>SUM(U112:U123)</f>
        <v>24574739.484463468</v>
      </c>
      <c r="K13" s="154">
        <f t="shared" si="8"/>
        <v>22687420.104024217</v>
      </c>
      <c r="L13" s="27">
        <f>SUM($G$4:G13)-SUM($U$4:U123)</f>
        <v>251487372.70639601</v>
      </c>
      <c r="M13" s="23">
        <v>10</v>
      </c>
      <c r="N13" s="76">
        <f t="shared" si="3"/>
        <v>44501</v>
      </c>
      <c r="O13" s="77">
        <f t="shared" si="12"/>
        <v>0</v>
      </c>
      <c r="P13" s="77">
        <f t="shared" si="13"/>
        <v>741000</v>
      </c>
      <c r="Q13" s="24">
        <f t="shared" si="4"/>
        <v>741000</v>
      </c>
      <c r="R13" s="77">
        <f t="shared" si="14"/>
        <v>741000</v>
      </c>
      <c r="S13" s="19">
        <f t="shared" si="9"/>
        <v>0</v>
      </c>
      <c r="T13" s="77">
        <f t="shared" si="10"/>
        <v>197600000</v>
      </c>
      <c r="U13" s="19">
        <f t="shared" si="15"/>
        <v>741000</v>
      </c>
      <c r="V13" s="227" t="s">
        <v>42</v>
      </c>
      <c r="W13" s="228"/>
      <c r="Y13" s="66" t="s">
        <v>54</v>
      </c>
      <c r="Z13" s="82">
        <v>44197</v>
      </c>
      <c r="AB13" s="147" t="s">
        <v>106</v>
      </c>
      <c r="AC13" s="153">
        <v>950000</v>
      </c>
    </row>
    <row r="14" spans="1:33" ht="35.25" customHeight="1" thickTop="1" x14ac:dyDescent="0.3">
      <c r="A14" s="2" t="s">
        <v>11</v>
      </c>
      <c r="B14" s="1">
        <f t="shared" si="16"/>
        <v>211916.944807697</v>
      </c>
      <c r="C14" s="1">
        <f t="shared" si="0"/>
        <v>25641950.321731336</v>
      </c>
      <c r="D14" s="6">
        <f t="shared" si="1"/>
        <v>22887030.039231278</v>
      </c>
      <c r="E14" s="10">
        <f t="shared" si="5"/>
        <v>48528980.360962614</v>
      </c>
      <c r="F14" s="8">
        <f t="shared" si="6"/>
        <v>1455869.4108288784</v>
      </c>
      <c r="G14" s="213">
        <f t="shared" si="7"/>
        <v>47073110.950133733</v>
      </c>
      <c r="H14" s="91">
        <f t="shared" si="2"/>
        <v>3922759.2458444778</v>
      </c>
      <c r="I14" s="95">
        <f t="shared" si="11"/>
        <v>528625139.01670063</v>
      </c>
      <c r="J14" s="129">
        <f>SUM(U124:U135)</f>
        <v>24574739.484463468</v>
      </c>
      <c r="K14" s="202">
        <f t="shared" si="8"/>
        <v>22498371.465670265</v>
      </c>
      <c r="L14" s="26">
        <f>SUM($G$4:G14)-SUM($U$4:U135)</f>
        <v>273985744.17206645</v>
      </c>
      <c r="M14" s="22">
        <v>11</v>
      </c>
      <c r="N14" s="76">
        <f t="shared" si="3"/>
        <v>44531</v>
      </c>
      <c r="O14" s="77">
        <f t="shared" si="12"/>
        <v>0</v>
      </c>
      <c r="P14" s="77">
        <f t="shared" si="13"/>
        <v>741000</v>
      </c>
      <c r="Q14" s="24">
        <f t="shared" si="4"/>
        <v>741000</v>
      </c>
      <c r="R14" s="77">
        <f t="shared" si="14"/>
        <v>741000</v>
      </c>
      <c r="S14" s="19">
        <f t="shared" si="9"/>
        <v>0</v>
      </c>
      <c r="T14" s="77">
        <f t="shared" si="10"/>
        <v>197600000</v>
      </c>
      <c r="U14" s="19">
        <f t="shared" si="15"/>
        <v>741000</v>
      </c>
      <c r="V14" s="55" t="s">
        <v>34</v>
      </c>
      <c r="W14" s="60">
        <f>SUM(Z16*Z4)</f>
        <v>197600000</v>
      </c>
      <c r="Y14" s="66" t="s">
        <v>55</v>
      </c>
      <c r="Z14" s="83">
        <f>PMT($W$15/12,W16,-W14)</f>
        <v>2047894.9570386223</v>
      </c>
      <c r="AG14" s="87"/>
    </row>
    <row r="15" spans="1:33" ht="35.25" customHeight="1" thickBot="1" x14ac:dyDescent="0.35">
      <c r="A15" s="3" t="s">
        <v>12</v>
      </c>
      <c r="B15" s="1">
        <f t="shared" si="16"/>
        <v>211069.27702846623</v>
      </c>
      <c r="C15" s="4">
        <f t="shared" si="0"/>
        <v>25539382.520444412</v>
      </c>
      <c r="D15" s="7">
        <f t="shared" si="1"/>
        <v>22795481.919074353</v>
      </c>
      <c r="E15" s="11">
        <f t="shared" si="5"/>
        <v>48334864.439518765</v>
      </c>
      <c r="F15" s="9">
        <f t="shared" si="6"/>
        <v>1450045.933185563</v>
      </c>
      <c r="G15" s="213">
        <f t="shared" si="7"/>
        <v>46884818.506333202</v>
      </c>
      <c r="H15" s="92">
        <f t="shared" si="2"/>
        <v>3907068.2088611</v>
      </c>
      <c r="I15" s="96">
        <f t="shared" si="11"/>
        <v>575509957.52303386</v>
      </c>
      <c r="J15" s="208" t="s">
        <v>283</v>
      </c>
      <c r="K15" s="203">
        <f>G15</f>
        <v>46884818.506333202</v>
      </c>
      <c r="L15" s="27">
        <f>SUM($G$4:G15)-SUM($U$4:U147)</f>
        <v>320870562.67839968</v>
      </c>
      <c r="M15" s="23">
        <v>12</v>
      </c>
      <c r="N15" s="76">
        <f t="shared" si="3"/>
        <v>44562</v>
      </c>
      <c r="O15" s="77">
        <f t="shared" si="12"/>
        <v>0</v>
      </c>
      <c r="P15" s="77">
        <f t="shared" si="13"/>
        <v>741000</v>
      </c>
      <c r="Q15" s="24">
        <f t="shared" si="4"/>
        <v>741000</v>
      </c>
      <c r="R15" s="77">
        <f t="shared" si="14"/>
        <v>741000</v>
      </c>
      <c r="S15" s="19">
        <f t="shared" si="9"/>
        <v>0</v>
      </c>
      <c r="T15" s="77">
        <f t="shared" si="10"/>
        <v>197600000</v>
      </c>
      <c r="U15" s="19">
        <f t="shared" si="15"/>
        <v>741000</v>
      </c>
      <c r="V15" s="56" t="s">
        <v>35</v>
      </c>
      <c r="W15" s="61">
        <v>4.4999999999999998E-2</v>
      </c>
    </row>
    <row r="16" spans="1:33" ht="35.25" customHeight="1" thickBot="1" x14ac:dyDescent="0.35">
      <c r="A16" s="2" t="s">
        <v>13</v>
      </c>
      <c r="B16" s="1">
        <f t="shared" si="16"/>
        <v>210224.99992035236</v>
      </c>
      <c r="C16" s="1">
        <f t="shared" si="0"/>
        <v>25437224.990362637</v>
      </c>
      <c r="D16" s="6">
        <f t="shared" si="1"/>
        <v>22704299.991398055</v>
      </c>
      <c r="E16" s="10">
        <f t="shared" si="5"/>
        <v>48141524.981760696</v>
      </c>
      <c r="F16" s="8">
        <f t="shared" si="6"/>
        <v>1444245.7494528207</v>
      </c>
      <c r="G16" s="213">
        <f t="shared" si="7"/>
        <v>46697279.232307874</v>
      </c>
      <c r="H16" s="91">
        <f t="shared" si="2"/>
        <v>3891439.9360256563</v>
      </c>
      <c r="I16" s="95">
        <f t="shared" si="11"/>
        <v>622207236.75534177</v>
      </c>
      <c r="J16" s="209" t="s">
        <v>283</v>
      </c>
      <c r="K16" s="202">
        <f t="shared" ref="K16:K23" si="17">G16</f>
        <v>46697279.232307874</v>
      </c>
      <c r="L16" s="26">
        <f>SUM($G$4:G16)-SUM($U$4:U159)</f>
        <v>367567841.91070759</v>
      </c>
      <c r="M16" s="22">
        <v>13</v>
      </c>
      <c r="N16" s="76">
        <f t="shared" si="3"/>
        <v>44593</v>
      </c>
      <c r="O16" s="77">
        <f t="shared" si="12"/>
        <v>1306894.9570386223</v>
      </c>
      <c r="P16" s="77">
        <f t="shared" si="13"/>
        <v>741000</v>
      </c>
      <c r="Q16" s="24">
        <f t="shared" si="4"/>
        <v>741000</v>
      </c>
      <c r="R16" s="77">
        <f t="shared" si="14"/>
        <v>2047894.9570386223</v>
      </c>
      <c r="S16" s="19">
        <f t="shared" si="9"/>
        <v>2047894.9570386223</v>
      </c>
      <c r="T16" s="77">
        <f t="shared" si="10"/>
        <v>196293105.04296139</v>
      </c>
      <c r="U16" s="19">
        <f t="shared" si="15"/>
        <v>2047894.9570386223</v>
      </c>
      <c r="V16" s="57" t="s">
        <v>44</v>
      </c>
      <c r="W16" s="80">
        <v>120</v>
      </c>
      <c r="Y16" s="137" t="s">
        <v>95</v>
      </c>
      <c r="Z16" s="138">
        <v>1300000</v>
      </c>
    </row>
    <row r="17" spans="1:26" ht="35.25" customHeight="1" thickBot="1" x14ac:dyDescent="0.35">
      <c r="A17" s="3" t="s">
        <v>14</v>
      </c>
      <c r="B17" s="1">
        <f t="shared" si="16"/>
        <v>209384.09992067094</v>
      </c>
      <c r="C17" s="4">
        <f t="shared" si="0"/>
        <v>25335476.090401184</v>
      </c>
      <c r="D17" s="7">
        <f t="shared" si="1"/>
        <v>22613482.791432459</v>
      </c>
      <c r="E17" s="11">
        <f t="shared" si="5"/>
        <v>47948958.881833643</v>
      </c>
      <c r="F17" s="9">
        <f t="shared" si="6"/>
        <v>1438468.7664550091</v>
      </c>
      <c r="G17" s="213">
        <f t="shared" si="7"/>
        <v>46510490.115378633</v>
      </c>
      <c r="H17" s="92">
        <f t="shared" si="2"/>
        <v>3875874.1762815528</v>
      </c>
      <c r="I17" s="96">
        <f t="shared" si="11"/>
        <v>668717726.87072039</v>
      </c>
      <c r="J17" s="208" t="s">
        <v>283</v>
      </c>
      <c r="K17" s="203">
        <f t="shared" si="17"/>
        <v>46510490.115378633</v>
      </c>
      <c r="L17" s="27">
        <f>SUM($G$4:G17)-SUM($U$4:U171)</f>
        <v>414078332.02608621</v>
      </c>
      <c r="M17" s="23">
        <v>14</v>
      </c>
      <c r="N17" s="76">
        <f t="shared" si="3"/>
        <v>44621</v>
      </c>
      <c r="O17" s="77">
        <f t="shared" si="12"/>
        <v>1311795.8131275172</v>
      </c>
      <c r="P17" s="77">
        <f t="shared" si="13"/>
        <v>736099.14391110511</v>
      </c>
      <c r="Q17" s="24">
        <f t="shared" si="4"/>
        <v>736099.14391110511</v>
      </c>
      <c r="R17" s="77">
        <f t="shared" si="14"/>
        <v>2047894.9570386223</v>
      </c>
      <c r="S17" s="19">
        <f t="shared" si="9"/>
        <v>2047894.9570386223</v>
      </c>
      <c r="T17" s="77">
        <f t="shared" si="10"/>
        <v>194981309.22983387</v>
      </c>
      <c r="U17" s="19">
        <f t="shared" si="15"/>
        <v>2047894.9570386223</v>
      </c>
      <c r="V17" s="62" t="s">
        <v>46</v>
      </c>
      <c r="W17" s="81">
        <v>12</v>
      </c>
      <c r="Z17" s="5"/>
    </row>
    <row r="18" spans="1:26" ht="35.25" customHeight="1" thickTop="1" x14ac:dyDescent="0.3">
      <c r="A18" s="2" t="s">
        <v>15</v>
      </c>
      <c r="B18" s="1">
        <f t="shared" si="16"/>
        <v>208546.56352098825</v>
      </c>
      <c r="C18" s="1">
        <f t="shared" si="0"/>
        <v>25234134.186039578</v>
      </c>
      <c r="D18" s="6">
        <f t="shared" si="1"/>
        <v>22523028.86026673</v>
      </c>
      <c r="E18" s="10">
        <f t="shared" si="5"/>
        <v>47757163.046306312</v>
      </c>
      <c r="F18" s="8">
        <f t="shared" si="6"/>
        <v>1432714.8913891893</v>
      </c>
      <c r="G18" s="213">
        <f t="shared" si="7"/>
        <v>46324448.154917121</v>
      </c>
      <c r="H18" s="91">
        <f t="shared" si="2"/>
        <v>3860370.6795764267</v>
      </c>
      <c r="I18" s="95">
        <f t="shared" si="11"/>
        <v>715042175.02563751</v>
      </c>
      <c r="J18" s="209" t="s">
        <v>283</v>
      </c>
      <c r="K18" s="202">
        <f t="shared" si="17"/>
        <v>46324448.154917121</v>
      </c>
      <c r="L18" s="26">
        <f>SUM($G$4:G18)-SUM($U$4:U183)</f>
        <v>460402780.18100333</v>
      </c>
      <c r="M18" s="22">
        <v>15</v>
      </c>
      <c r="N18" s="76">
        <f t="shared" si="3"/>
        <v>44652</v>
      </c>
      <c r="O18" s="77">
        <f t="shared" si="12"/>
        <v>1316715.0474267453</v>
      </c>
      <c r="P18" s="77">
        <f t="shared" si="13"/>
        <v>731179.90961187705</v>
      </c>
      <c r="Q18" s="24">
        <f t="shared" si="4"/>
        <v>731179.90961187705</v>
      </c>
      <c r="R18" s="77">
        <f t="shared" si="14"/>
        <v>2047894.9570386223</v>
      </c>
      <c r="S18" s="19">
        <f t="shared" si="9"/>
        <v>2047894.9570386223</v>
      </c>
      <c r="T18" s="77">
        <f t="shared" si="10"/>
        <v>193664594.18240714</v>
      </c>
      <c r="U18" s="19">
        <f t="shared" si="15"/>
        <v>2047894.9570386223</v>
      </c>
      <c r="V18" s="229" t="s">
        <v>43</v>
      </c>
      <c r="W18" s="230"/>
    </row>
    <row r="19" spans="1:26" ht="35.25" customHeight="1" x14ac:dyDescent="0.3">
      <c r="A19" s="3" t="s">
        <v>16</v>
      </c>
      <c r="B19" s="1">
        <f t="shared" si="16"/>
        <v>207712.37726690428</v>
      </c>
      <c r="C19" s="4">
        <f t="shared" si="0"/>
        <v>25133197.649295419</v>
      </c>
      <c r="D19" s="7">
        <f t="shared" si="1"/>
        <v>22432936.744825661</v>
      </c>
      <c r="E19" s="11">
        <f t="shared" si="5"/>
        <v>47566134.394121081</v>
      </c>
      <c r="F19" s="9">
        <f t="shared" si="6"/>
        <v>1426984.0318236323</v>
      </c>
      <c r="G19" s="213">
        <f t="shared" si="7"/>
        <v>46139150.362297446</v>
      </c>
      <c r="H19" s="92">
        <f t="shared" si="2"/>
        <v>3844929.1968581206</v>
      </c>
      <c r="I19" s="96">
        <f t="shared" si="11"/>
        <v>761181325.38793492</v>
      </c>
      <c r="J19" s="208" t="s">
        <v>283</v>
      </c>
      <c r="K19" s="203">
        <f t="shared" si="17"/>
        <v>46139150.362297446</v>
      </c>
      <c r="L19" s="27">
        <f>SUM($G$4:G19)-SUM($U$4:U195)</f>
        <v>506541930.54330075</v>
      </c>
      <c r="M19" s="23">
        <v>16</v>
      </c>
      <c r="N19" s="76">
        <f t="shared" si="3"/>
        <v>44682</v>
      </c>
      <c r="O19" s="77">
        <f t="shared" si="12"/>
        <v>1321652.7288545957</v>
      </c>
      <c r="P19" s="77">
        <f t="shared" si="13"/>
        <v>726242.22818402678</v>
      </c>
      <c r="Q19" s="24">
        <f t="shared" si="4"/>
        <v>726242.22818402678</v>
      </c>
      <c r="R19" s="77">
        <f t="shared" si="14"/>
        <v>2047894.9570386223</v>
      </c>
      <c r="S19" s="19">
        <f t="shared" si="9"/>
        <v>2047894.9570386223</v>
      </c>
      <c r="T19" s="77">
        <f t="shared" si="10"/>
        <v>192342941.45355254</v>
      </c>
      <c r="U19" s="19">
        <f t="shared" si="15"/>
        <v>2047894.9570386223</v>
      </c>
      <c r="V19" s="47" t="s">
        <v>17</v>
      </c>
      <c r="W19" s="48">
        <f>I4/W12</f>
        <v>0.22679006993006995</v>
      </c>
    </row>
    <row r="20" spans="1:26" ht="35.25" customHeight="1" x14ac:dyDescent="0.3">
      <c r="A20" s="2" t="s">
        <v>18</v>
      </c>
      <c r="B20" s="1">
        <f t="shared" si="16"/>
        <v>206881.52775783665</v>
      </c>
      <c r="C20" s="1">
        <f t="shared" si="0"/>
        <v>25032664.858698234</v>
      </c>
      <c r="D20" s="6">
        <f t="shared" si="1"/>
        <v>22343204.997846358</v>
      </c>
      <c r="E20" s="10">
        <f t="shared" si="5"/>
        <v>47375869.856544591</v>
      </c>
      <c r="F20" s="8">
        <f t="shared" si="6"/>
        <v>1421276.0956963378</v>
      </c>
      <c r="G20" s="213">
        <f t="shared" si="7"/>
        <v>45954593.760848254</v>
      </c>
      <c r="H20" s="91">
        <f t="shared" si="2"/>
        <v>3829549.4800706878</v>
      </c>
      <c r="I20" s="95">
        <f t="shared" si="11"/>
        <v>807135919.14878321</v>
      </c>
      <c r="J20" s="209" t="s">
        <v>283</v>
      </c>
      <c r="K20" s="202">
        <f t="shared" si="17"/>
        <v>45954593.760848254</v>
      </c>
      <c r="L20" s="26">
        <f>SUM($G$4:G20)-SUM($U$4:U207)</f>
        <v>552496524.30414903</v>
      </c>
      <c r="M20" s="22">
        <v>17</v>
      </c>
      <c r="N20" s="76">
        <f t="shared" si="3"/>
        <v>44713</v>
      </c>
      <c r="O20" s="77">
        <f t="shared" si="12"/>
        <v>1326608.9265878005</v>
      </c>
      <c r="P20" s="77">
        <f t="shared" si="13"/>
        <v>721286.03045082197</v>
      </c>
      <c r="Q20" s="24">
        <f t="shared" si="4"/>
        <v>721286.03045082197</v>
      </c>
      <c r="R20" s="77">
        <f t="shared" si="14"/>
        <v>2047894.9570386223</v>
      </c>
      <c r="S20" s="19">
        <f t="shared" si="9"/>
        <v>2047894.9570386223</v>
      </c>
      <c r="T20" s="77">
        <f t="shared" si="10"/>
        <v>191016332.52696475</v>
      </c>
      <c r="U20" s="19">
        <f t="shared" si="15"/>
        <v>2047894.9570386223</v>
      </c>
      <c r="V20" s="49" t="s">
        <v>20</v>
      </c>
      <c r="W20" s="50">
        <f>W12/I4</f>
        <v>4.4093641326904089</v>
      </c>
    </row>
    <row r="21" spans="1:26" ht="35.25" customHeight="1" x14ac:dyDescent="0.3">
      <c r="A21" s="3" t="s">
        <v>19</v>
      </c>
      <c r="B21" s="1">
        <f t="shared" si="16"/>
        <v>206054.00164680529</v>
      </c>
      <c r="C21" s="4">
        <f t="shared" si="0"/>
        <v>24932534.199263439</v>
      </c>
      <c r="D21" s="7">
        <f t="shared" si="1"/>
        <v>22253832.17785497</v>
      </c>
      <c r="E21" s="11">
        <f t="shared" si="5"/>
        <v>47186366.377118409</v>
      </c>
      <c r="F21" s="9">
        <f t="shared" si="6"/>
        <v>1415590.9913135523</v>
      </c>
      <c r="G21" s="213">
        <f t="shared" si="7"/>
        <v>45770775.385804854</v>
      </c>
      <c r="H21" s="92">
        <f t="shared" si="2"/>
        <v>3814231.2821504045</v>
      </c>
      <c r="I21" s="96">
        <f t="shared" si="11"/>
        <v>852906694.5345881</v>
      </c>
      <c r="J21" s="208" t="s">
        <v>283</v>
      </c>
      <c r="K21" s="203">
        <f t="shared" si="17"/>
        <v>45770775.385804854</v>
      </c>
      <c r="L21" s="27">
        <f>SUM($G$4:G21)-SUM($U$4:U219)</f>
        <v>598267299.68995392</v>
      </c>
      <c r="M21" s="23">
        <v>18</v>
      </c>
      <c r="N21" s="76">
        <f t="shared" si="3"/>
        <v>44743</v>
      </c>
      <c r="O21" s="77">
        <f t="shared" si="12"/>
        <v>1331583.7100625047</v>
      </c>
      <c r="P21" s="77">
        <f t="shared" si="13"/>
        <v>716311.24697611772</v>
      </c>
      <c r="Q21" s="24">
        <f t="shared" si="4"/>
        <v>716311.24697611772</v>
      </c>
      <c r="R21" s="77">
        <f t="shared" si="14"/>
        <v>2047894.9570386223</v>
      </c>
      <c r="S21" s="19">
        <f t="shared" si="9"/>
        <v>2047894.9570386223</v>
      </c>
      <c r="T21" s="77">
        <f t="shared" si="10"/>
        <v>189684748.81690225</v>
      </c>
      <c r="U21" s="19">
        <f t="shared" si="15"/>
        <v>2047894.9570386223</v>
      </c>
      <c r="V21" s="51" t="s">
        <v>39</v>
      </c>
      <c r="W21" s="52">
        <f>I23</f>
        <v>943899728.33397424</v>
      </c>
    </row>
    <row r="22" spans="1:26" ht="35.25" customHeight="1" x14ac:dyDescent="0.3">
      <c r="A22" s="2" t="s">
        <v>21</v>
      </c>
      <c r="B22" s="1">
        <f t="shared" si="16"/>
        <v>205229.78564021806</v>
      </c>
      <c r="C22" s="1">
        <f t="shared" si="0"/>
        <v>24832804.062466387</v>
      </c>
      <c r="D22" s="6">
        <f t="shared" si="1"/>
        <v>22164816.84914355</v>
      </c>
      <c r="E22" s="10">
        <f t="shared" si="5"/>
        <v>46997620.911609933</v>
      </c>
      <c r="F22" s="8">
        <f t="shared" si="6"/>
        <v>1409928.627348298</v>
      </c>
      <c r="G22" s="213">
        <f t="shared" si="7"/>
        <v>45587692.284261636</v>
      </c>
      <c r="H22" s="91">
        <f t="shared" si="2"/>
        <v>3798974.357021803</v>
      </c>
      <c r="I22" s="95">
        <f t="shared" si="11"/>
        <v>898494386.81884968</v>
      </c>
      <c r="J22" s="209" t="s">
        <v>283</v>
      </c>
      <c r="K22" s="202">
        <f t="shared" si="17"/>
        <v>45587692.284261636</v>
      </c>
      <c r="L22" s="26">
        <f>SUM($G$4:G22)-SUM($U$4:U231)</f>
        <v>643854991.97421551</v>
      </c>
      <c r="M22" s="22">
        <v>19</v>
      </c>
      <c r="N22" s="76">
        <f t="shared" si="3"/>
        <v>44774</v>
      </c>
      <c r="O22" s="77">
        <f t="shared" si="12"/>
        <v>1336577.1489752391</v>
      </c>
      <c r="P22" s="77">
        <f t="shared" si="13"/>
        <v>711317.80806338333</v>
      </c>
      <c r="Q22" s="24">
        <f t="shared" si="4"/>
        <v>711317.80806338333</v>
      </c>
      <c r="R22" s="77">
        <f t="shared" si="14"/>
        <v>2047894.9570386223</v>
      </c>
      <c r="S22" s="19">
        <f t="shared" si="9"/>
        <v>2047894.9570386223</v>
      </c>
      <c r="T22" s="77">
        <f t="shared" si="10"/>
        <v>188348171.667927</v>
      </c>
      <c r="U22" s="19">
        <f t="shared" si="15"/>
        <v>2047894.9570386223</v>
      </c>
      <c r="V22" s="53" t="s">
        <v>40</v>
      </c>
      <c r="W22" s="54">
        <f>L23</f>
        <v>689260333.48934007</v>
      </c>
    </row>
    <row r="23" spans="1:26" ht="35.25" customHeight="1" thickBot="1" x14ac:dyDescent="0.35">
      <c r="A23" s="13" t="s">
        <v>22</v>
      </c>
      <c r="B23" s="1">
        <f t="shared" si="16"/>
        <v>204408.8664976572</v>
      </c>
      <c r="C23" s="14">
        <f t="shared" si="0"/>
        <v>24733472.846216522</v>
      </c>
      <c r="D23" s="15">
        <f t="shared" si="1"/>
        <v>22076157.581746977</v>
      </c>
      <c r="E23" s="12">
        <f t="shared" si="5"/>
        <v>46809630.427963495</v>
      </c>
      <c r="F23" s="16">
        <f t="shared" si="6"/>
        <v>1404288.9128389049</v>
      </c>
      <c r="G23" s="214">
        <f t="shared" si="7"/>
        <v>45405341.515124589</v>
      </c>
      <c r="H23" s="93">
        <f t="shared" si="2"/>
        <v>3783778.4595937156</v>
      </c>
      <c r="I23" s="97">
        <f t="shared" si="11"/>
        <v>943899728.33397424</v>
      </c>
      <c r="J23" s="210" t="s">
        <v>283</v>
      </c>
      <c r="K23" s="203">
        <f t="shared" si="17"/>
        <v>45405341.515124589</v>
      </c>
      <c r="L23" s="29">
        <f>SUM($G$4:G23)-SUM($U$4:U243)</f>
        <v>689260333.48934007</v>
      </c>
      <c r="M23" s="23">
        <v>20</v>
      </c>
      <c r="N23" s="76">
        <f t="shared" si="3"/>
        <v>44805</v>
      </c>
      <c r="O23" s="77">
        <f t="shared" si="12"/>
        <v>1341589.3132838961</v>
      </c>
      <c r="P23" s="77">
        <f t="shared" si="13"/>
        <v>706305.64375472628</v>
      </c>
      <c r="Q23" s="24">
        <f t="shared" si="4"/>
        <v>706305.64375472628</v>
      </c>
      <c r="R23" s="77">
        <f t="shared" si="14"/>
        <v>2047894.9570386223</v>
      </c>
      <c r="S23" s="19">
        <f t="shared" si="9"/>
        <v>2047894.9570386223</v>
      </c>
      <c r="T23" s="77">
        <f t="shared" si="10"/>
        <v>187006582.35464311</v>
      </c>
      <c r="U23" s="19">
        <f t="shared" si="15"/>
        <v>2047894.9570386223</v>
      </c>
      <c r="V23" s="84"/>
      <c r="W23" s="85"/>
    </row>
    <row r="24" spans="1:26" ht="45" customHeight="1" thickBot="1" x14ac:dyDescent="0.35">
      <c r="A24" s="218" t="s">
        <v>273</v>
      </c>
      <c r="B24" s="219"/>
      <c r="C24" s="219"/>
      <c r="D24" s="219"/>
      <c r="E24" s="219"/>
      <c r="F24" s="219"/>
      <c r="G24" s="219"/>
      <c r="H24" s="25"/>
      <c r="I24" s="25"/>
      <c r="J24" s="25"/>
      <c r="K24" s="25"/>
      <c r="L24" s="25"/>
      <c r="M24" s="19">
        <v>21</v>
      </c>
      <c r="N24" s="76">
        <f t="shared" si="3"/>
        <v>44835</v>
      </c>
      <c r="O24" s="77">
        <f t="shared" si="12"/>
        <v>1346620.2732087108</v>
      </c>
      <c r="P24" s="77">
        <f t="shared" si="13"/>
        <v>701274.68382991164</v>
      </c>
      <c r="Q24" s="24">
        <f t="shared" si="4"/>
        <v>701274.68382991164</v>
      </c>
      <c r="R24" s="77">
        <f t="shared" si="14"/>
        <v>2047894.9570386223</v>
      </c>
      <c r="S24" s="19">
        <f t="shared" si="9"/>
        <v>2047894.9570386223</v>
      </c>
      <c r="T24" s="77">
        <f t="shared" si="10"/>
        <v>185659962.0814344</v>
      </c>
      <c r="U24" s="19">
        <f t="shared" si="15"/>
        <v>2047894.9570386223</v>
      </c>
      <c r="V24" s="25"/>
      <c r="W24" s="36"/>
    </row>
    <row r="25" spans="1:26" s="17" customFormat="1" ht="41.25" customHeight="1" x14ac:dyDescent="0.3">
      <c r="A25" s="217"/>
      <c r="B25" s="217"/>
      <c r="C25" s="217"/>
      <c r="D25" s="217"/>
      <c r="E25" s="217"/>
      <c r="F25" s="217"/>
      <c r="G25" s="217"/>
      <c r="H25" s="78"/>
      <c r="I25" s="78"/>
      <c r="J25" s="78"/>
      <c r="K25" s="78"/>
      <c r="L25" s="78"/>
      <c r="M25" s="19">
        <v>22</v>
      </c>
      <c r="N25" s="76">
        <f t="shared" si="3"/>
        <v>44866</v>
      </c>
      <c r="O25" s="77">
        <f t="shared" si="12"/>
        <v>1351670.0992332434</v>
      </c>
      <c r="P25" s="77">
        <f t="shared" si="13"/>
        <v>696224.85780537897</v>
      </c>
      <c r="Q25" s="24">
        <f t="shared" si="4"/>
        <v>696224.85780537897</v>
      </c>
      <c r="R25" s="77">
        <f t="shared" si="14"/>
        <v>2047894.9570386223</v>
      </c>
      <c r="S25" s="19">
        <f t="shared" si="9"/>
        <v>2047894.9570386223</v>
      </c>
      <c r="T25" s="77">
        <f t="shared" si="10"/>
        <v>184308291.98220116</v>
      </c>
      <c r="U25" s="19">
        <f t="shared" si="15"/>
        <v>2047894.9570386223</v>
      </c>
      <c r="V25" s="78"/>
      <c r="W25" s="78"/>
    </row>
    <row r="26" spans="1:26" x14ac:dyDescent="0.3">
      <c r="M26" s="19">
        <v>23</v>
      </c>
      <c r="N26" s="76">
        <f t="shared" si="3"/>
        <v>44896</v>
      </c>
      <c r="O26" s="77">
        <f t="shared" si="12"/>
        <v>1356738.8621053682</v>
      </c>
      <c r="P26" s="77">
        <f t="shared" si="13"/>
        <v>691156.0949332543</v>
      </c>
      <c r="Q26" s="24">
        <f t="shared" si="4"/>
        <v>691156.0949332543</v>
      </c>
      <c r="R26" s="77">
        <f t="shared" si="14"/>
        <v>2047894.9570386223</v>
      </c>
      <c r="S26" s="19">
        <f t="shared" si="9"/>
        <v>2047894.9570386223</v>
      </c>
      <c r="T26" s="77">
        <f t="shared" si="10"/>
        <v>182951553.12009579</v>
      </c>
      <c r="U26" s="19">
        <f t="shared" si="15"/>
        <v>2047894.9570386223</v>
      </c>
    </row>
    <row r="27" spans="1:26" x14ac:dyDescent="0.3">
      <c r="M27" s="20">
        <v>24</v>
      </c>
      <c r="N27" s="76">
        <f t="shared" si="3"/>
        <v>44927</v>
      </c>
      <c r="O27" s="77">
        <f t="shared" si="12"/>
        <v>1361826.6328382632</v>
      </c>
      <c r="P27" s="77">
        <f t="shared" si="13"/>
        <v>686068.32420035917</v>
      </c>
      <c r="Q27" s="24">
        <f t="shared" si="4"/>
        <v>686068.32420035917</v>
      </c>
      <c r="R27" s="77">
        <f t="shared" si="14"/>
        <v>2047894.9570386223</v>
      </c>
      <c r="S27" s="19">
        <f t="shared" si="9"/>
        <v>2047894.9570386223</v>
      </c>
      <c r="T27" s="77">
        <f t="shared" si="10"/>
        <v>181589726.48725754</v>
      </c>
      <c r="U27" s="19">
        <f t="shared" si="15"/>
        <v>2047894.9570386223</v>
      </c>
    </row>
    <row r="28" spans="1:26" x14ac:dyDescent="0.3">
      <c r="M28" s="19">
        <v>25</v>
      </c>
      <c r="N28" s="76">
        <f t="shared" si="3"/>
        <v>44958</v>
      </c>
      <c r="O28" s="77">
        <f t="shared" si="12"/>
        <v>1366933.4827114064</v>
      </c>
      <c r="P28" s="77">
        <f t="shared" si="13"/>
        <v>680961.47432721581</v>
      </c>
      <c r="Q28" s="24">
        <f t="shared" si="4"/>
        <v>680961.47432721581</v>
      </c>
      <c r="R28" s="77">
        <f t="shared" si="14"/>
        <v>2047894.9570386223</v>
      </c>
      <c r="S28" s="19">
        <f t="shared" si="9"/>
        <v>2047894.9570386223</v>
      </c>
      <c r="T28" s="77">
        <f t="shared" si="10"/>
        <v>180222793.00454614</v>
      </c>
      <c r="U28" s="19">
        <f t="shared" si="15"/>
        <v>2047894.9570386223</v>
      </c>
    </row>
    <row r="29" spans="1:26" x14ac:dyDescent="0.3">
      <c r="M29" s="20">
        <v>26</v>
      </c>
      <c r="N29" s="76">
        <f t="shared" si="3"/>
        <v>44986</v>
      </c>
      <c r="O29" s="77">
        <f t="shared" si="12"/>
        <v>1372059.4832715744</v>
      </c>
      <c r="P29" s="77">
        <f t="shared" si="13"/>
        <v>675835.47376704798</v>
      </c>
      <c r="Q29" s="24">
        <f t="shared" si="4"/>
        <v>675835.47376704798</v>
      </c>
      <c r="R29" s="77">
        <f t="shared" si="14"/>
        <v>2047894.9570386223</v>
      </c>
      <c r="S29" s="19">
        <f t="shared" si="9"/>
        <v>2047894.9570386223</v>
      </c>
      <c r="T29" s="77">
        <f t="shared" si="10"/>
        <v>178850733.52127457</v>
      </c>
      <c r="U29" s="19">
        <f t="shared" si="15"/>
        <v>2047894.9570386223</v>
      </c>
    </row>
    <row r="30" spans="1:26" x14ac:dyDescent="0.3">
      <c r="M30" s="19">
        <v>27</v>
      </c>
      <c r="N30" s="76">
        <f t="shared" si="3"/>
        <v>45017</v>
      </c>
      <c r="O30" s="77">
        <f t="shared" si="12"/>
        <v>1377204.7063338426</v>
      </c>
      <c r="P30" s="77">
        <f t="shared" si="13"/>
        <v>670690.25070477964</v>
      </c>
      <c r="Q30" s="24">
        <f t="shared" si="4"/>
        <v>670690.25070477964</v>
      </c>
      <c r="R30" s="77">
        <f t="shared" si="14"/>
        <v>2047894.9570386223</v>
      </c>
      <c r="S30" s="19">
        <f t="shared" si="9"/>
        <v>2047894.9570386223</v>
      </c>
      <c r="T30" s="77">
        <f t="shared" si="10"/>
        <v>177473528.81494072</v>
      </c>
      <c r="U30" s="19">
        <f t="shared" si="15"/>
        <v>2047894.9570386223</v>
      </c>
    </row>
    <row r="31" spans="1:26" x14ac:dyDescent="0.3">
      <c r="M31" s="20">
        <v>28</v>
      </c>
      <c r="N31" s="76">
        <f t="shared" si="3"/>
        <v>45047</v>
      </c>
      <c r="O31" s="77">
        <f t="shared" si="12"/>
        <v>1382369.2239825947</v>
      </c>
      <c r="P31" s="77">
        <f t="shared" si="13"/>
        <v>665525.73305602768</v>
      </c>
      <c r="Q31" s="24">
        <f t="shared" si="4"/>
        <v>665525.73305602768</v>
      </c>
      <c r="R31" s="77">
        <f t="shared" si="14"/>
        <v>2047894.9570386223</v>
      </c>
      <c r="S31" s="19">
        <f t="shared" si="9"/>
        <v>2047894.9570386223</v>
      </c>
      <c r="T31" s="77">
        <f t="shared" si="10"/>
        <v>176091159.59095812</v>
      </c>
      <c r="U31" s="19">
        <f t="shared" si="15"/>
        <v>2047894.9570386223</v>
      </c>
    </row>
    <row r="32" spans="1:26" x14ac:dyDescent="0.3">
      <c r="M32" s="19">
        <v>29</v>
      </c>
      <c r="N32" s="76">
        <f t="shared" si="3"/>
        <v>45078</v>
      </c>
      <c r="O32" s="77">
        <f t="shared" si="12"/>
        <v>1387553.1085725294</v>
      </c>
      <c r="P32" s="77">
        <f t="shared" si="13"/>
        <v>660341.84846609295</v>
      </c>
      <c r="Q32" s="24">
        <f t="shared" si="4"/>
        <v>660341.84846609295</v>
      </c>
      <c r="R32" s="77">
        <f t="shared" si="14"/>
        <v>2047894.9570386223</v>
      </c>
      <c r="S32" s="19">
        <f t="shared" si="9"/>
        <v>2047894.9570386223</v>
      </c>
      <c r="T32" s="77">
        <f t="shared" si="10"/>
        <v>174703606.48238558</v>
      </c>
      <c r="U32" s="19">
        <f t="shared" si="15"/>
        <v>2047894.9570386223</v>
      </c>
    </row>
    <row r="33" spans="13:21" x14ac:dyDescent="0.3">
      <c r="M33" s="20">
        <v>30</v>
      </c>
      <c r="N33" s="76">
        <f t="shared" si="3"/>
        <v>45108</v>
      </c>
      <c r="O33" s="77">
        <f t="shared" si="12"/>
        <v>1392756.4327296764</v>
      </c>
      <c r="P33" s="77">
        <f t="shared" si="13"/>
        <v>655138.52430894587</v>
      </c>
      <c r="Q33" s="24">
        <f t="shared" si="4"/>
        <v>655138.52430894587</v>
      </c>
      <c r="R33" s="77">
        <f t="shared" si="14"/>
        <v>2047894.9570386223</v>
      </c>
      <c r="S33" s="19">
        <f t="shared" si="9"/>
        <v>2047894.9570386223</v>
      </c>
      <c r="T33" s="77">
        <f t="shared" si="10"/>
        <v>173310850.04965591</v>
      </c>
      <c r="U33" s="19">
        <f t="shared" si="15"/>
        <v>2047894.9570386223</v>
      </c>
    </row>
    <row r="34" spans="13:21" x14ac:dyDescent="0.3">
      <c r="M34" s="19">
        <v>31</v>
      </c>
      <c r="N34" s="76">
        <f t="shared" si="3"/>
        <v>45139</v>
      </c>
      <c r="O34" s="77">
        <f t="shared" si="12"/>
        <v>1397979.2693524128</v>
      </c>
      <c r="P34" s="77">
        <f t="shared" si="13"/>
        <v>649915.68768620968</v>
      </c>
      <c r="Q34" s="24">
        <f t="shared" si="4"/>
        <v>649915.68768620968</v>
      </c>
      <c r="R34" s="77">
        <f t="shared" si="14"/>
        <v>2047894.9570386223</v>
      </c>
      <c r="S34" s="19">
        <f t="shared" si="9"/>
        <v>2047894.9570386223</v>
      </c>
      <c r="T34" s="77">
        <f t="shared" si="10"/>
        <v>171912870.78030351</v>
      </c>
      <c r="U34" s="19">
        <f t="shared" si="15"/>
        <v>2047894.9570386223</v>
      </c>
    </row>
    <row r="35" spans="13:21" x14ac:dyDescent="0.3">
      <c r="M35" s="20">
        <v>32</v>
      </c>
      <c r="N35" s="76">
        <f t="shared" si="3"/>
        <v>45170</v>
      </c>
      <c r="O35" s="77">
        <f t="shared" si="12"/>
        <v>1403221.6916124844</v>
      </c>
      <c r="P35" s="77">
        <f t="shared" si="13"/>
        <v>644673.26542613807</v>
      </c>
      <c r="Q35" s="24">
        <f t="shared" si="4"/>
        <v>644673.26542613807</v>
      </c>
      <c r="R35" s="77">
        <f t="shared" si="14"/>
        <v>2047894.9570386223</v>
      </c>
      <c r="S35" s="19">
        <f t="shared" si="9"/>
        <v>2047894.9570386223</v>
      </c>
      <c r="T35" s="77">
        <f t="shared" si="10"/>
        <v>170509649.08869103</v>
      </c>
      <c r="U35" s="19">
        <f t="shared" si="15"/>
        <v>2047894.9570386223</v>
      </c>
    </row>
    <row r="36" spans="13:21" x14ac:dyDescent="0.3">
      <c r="M36" s="19">
        <v>33</v>
      </c>
      <c r="N36" s="76">
        <f t="shared" si="3"/>
        <v>45200</v>
      </c>
      <c r="O36" s="77">
        <f t="shared" si="12"/>
        <v>1408483.7729560309</v>
      </c>
      <c r="P36" s="77">
        <f t="shared" si="13"/>
        <v>639411.18408259132</v>
      </c>
      <c r="Q36" s="24">
        <f t="shared" si="4"/>
        <v>639411.18408259132</v>
      </c>
      <c r="R36" s="77">
        <f t="shared" si="14"/>
        <v>2047894.9570386223</v>
      </c>
      <c r="S36" s="19">
        <f t="shared" si="9"/>
        <v>2047894.9570386223</v>
      </c>
      <c r="T36" s="77">
        <f t="shared" si="10"/>
        <v>169101165.31573498</v>
      </c>
      <c r="U36" s="19">
        <f t="shared" si="15"/>
        <v>2047894.9570386223</v>
      </c>
    </row>
    <row r="37" spans="13:21" x14ac:dyDescent="0.3">
      <c r="M37" s="20">
        <v>34</v>
      </c>
      <c r="N37" s="76">
        <f t="shared" si="3"/>
        <v>45231</v>
      </c>
      <c r="O37" s="77">
        <f t="shared" si="12"/>
        <v>1413765.5871046162</v>
      </c>
      <c r="P37" s="77">
        <f t="shared" si="13"/>
        <v>634129.36993400613</v>
      </c>
      <c r="Q37" s="24">
        <f t="shared" si="4"/>
        <v>634129.36993400613</v>
      </c>
      <c r="R37" s="77">
        <f t="shared" si="14"/>
        <v>2047894.9570386223</v>
      </c>
      <c r="S37" s="19">
        <f t="shared" si="9"/>
        <v>2047894.9570386223</v>
      </c>
      <c r="T37" s="77">
        <f t="shared" si="10"/>
        <v>167687399.72863036</v>
      </c>
      <c r="U37" s="19">
        <f t="shared" si="15"/>
        <v>2047894.9570386223</v>
      </c>
    </row>
    <row r="38" spans="13:21" x14ac:dyDescent="0.3">
      <c r="M38" s="19">
        <v>35</v>
      </c>
      <c r="N38" s="76">
        <f t="shared" si="3"/>
        <v>45261</v>
      </c>
      <c r="O38" s="77">
        <f t="shared" si="12"/>
        <v>1419067.2080562585</v>
      </c>
      <c r="P38" s="77">
        <f t="shared" si="13"/>
        <v>628827.74898236385</v>
      </c>
      <c r="Q38" s="24">
        <f t="shared" si="4"/>
        <v>628827.74898236385</v>
      </c>
      <c r="R38" s="77">
        <f t="shared" si="14"/>
        <v>2047894.9570386223</v>
      </c>
      <c r="S38" s="19">
        <f t="shared" si="9"/>
        <v>2047894.9570386223</v>
      </c>
      <c r="T38" s="77">
        <f t="shared" si="10"/>
        <v>166268332.52057409</v>
      </c>
      <c r="U38" s="19">
        <f t="shared" si="15"/>
        <v>2047894.9570386223</v>
      </c>
    </row>
    <row r="39" spans="13:21" x14ac:dyDescent="0.3">
      <c r="M39" s="20">
        <v>36</v>
      </c>
      <c r="N39" s="76">
        <f t="shared" si="3"/>
        <v>45292</v>
      </c>
      <c r="O39" s="77">
        <f t="shared" si="12"/>
        <v>1424388.7100864695</v>
      </c>
      <c r="P39" s="77">
        <f t="shared" si="13"/>
        <v>623506.24695215281</v>
      </c>
      <c r="Q39" s="24">
        <f t="shared" si="4"/>
        <v>623506.24695215281</v>
      </c>
      <c r="R39" s="77">
        <f t="shared" si="14"/>
        <v>2047894.9570386223</v>
      </c>
      <c r="S39" s="19">
        <f t="shared" si="9"/>
        <v>2047894.9570386223</v>
      </c>
      <c r="T39" s="77">
        <f t="shared" si="10"/>
        <v>164843943.81048763</v>
      </c>
      <c r="U39" s="204">
        <f t="shared" si="15"/>
        <v>2047894.9570386223</v>
      </c>
    </row>
    <row r="40" spans="13:21" x14ac:dyDescent="0.3">
      <c r="M40" s="19">
        <v>37</v>
      </c>
      <c r="N40" s="76">
        <f t="shared" si="3"/>
        <v>45323</v>
      </c>
      <c r="O40" s="77">
        <f t="shared" si="12"/>
        <v>1429730.1677492936</v>
      </c>
      <c r="P40" s="77">
        <f t="shared" si="13"/>
        <v>618164.78928932862</v>
      </c>
      <c r="Q40" s="24">
        <f t="shared" si="4"/>
        <v>618164.78928932862</v>
      </c>
      <c r="R40" s="77">
        <f t="shared" si="14"/>
        <v>2047894.9570386223</v>
      </c>
      <c r="S40" s="19">
        <f t="shared" si="9"/>
        <v>2047894.9570386223</v>
      </c>
      <c r="T40" s="77">
        <f t="shared" si="10"/>
        <v>163414213.64273834</v>
      </c>
      <c r="U40" s="19">
        <f t="shared" si="15"/>
        <v>2047894.9570386223</v>
      </c>
    </row>
    <row r="41" spans="13:21" x14ac:dyDescent="0.3">
      <c r="M41" s="20">
        <v>38</v>
      </c>
      <c r="N41" s="76">
        <f t="shared" si="3"/>
        <v>45352</v>
      </c>
      <c r="O41" s="77">
        <f t="shared" si="12"/>
        <v>1435091.6558783534</v>
      </c>
      <c r="P41" s="77">
        <f t="shared" si="13"/>
        <v>612803.30116026883</v>
      </c>
      <c r="Q41" s="24">
        <f t="shared" si="4"/>
        <v>612803.30116026883</v>
      </c>
      <c r="R41" s="77">
        <f t="shared" si="14"/>
        <v>2047894.9570386223</v>
      </c>
      <c r="S41" s="19">
        <f t="shared" si="9"/>
        <v>2047894.9570386223</v>
      </c>
      <c r="T41" s="77">
        <f t="shared" si="10"/>
        <v>161979121.98685998</v>
      </c>
      <c r="U41" s="19">
        <f t="shared" si="15"/>
        <v>2047894.9570386223</v>
      </c>
    </row>
    <row r="42" spans="13:21" x14ac:dyDescent="0.3">
      <c r="M42" s="19">
        <v>39</v>
      </c>
      <c r="N42" s="76">
        <f t="shared" si="3"/>
        <v>45383</v>
      </c>
      <c r="O42" s="77">
        <f t="shared" si="12"/>
        <v>1440473.2495878974</v>
      </c>
      <c r="P42" s="77">
        <f t="shared" si="13"/>
        <v>607421.70745072491</v>
      </c>
      <c r="Q42" s="24">
        <f t="shared" si="4"/>
        <v>607421.70745072491</v>
      </c>
      <c r="R42" s="77">
        <f t="shared" si="14"/>
        <v>2047894.9570386223</v>
      </c>
      <c r="S42" s="19">
        <f t="shared" si="9"/>
        <v>2047894.9570386223</v>
      </c>
      <c r="T42" s="77">
        <f t="shared" si="10"/>
        <v>160538648.73727208</v>
      </c>
      <c r="U42" s="19">
        <f t="shared" si="15"/>
        <v>2047894.9570386223</v>
      </c>
    </row>
    <row r="43" spans="13:21" x14ac:dyDescent="0.3">
      <c r="M43" s="20">
        <v>40</v>
      </c>
      <c r="N43" s="76">
        <f t="shared" si="3"/>
        <v>45413</v>
      </c>
      <c r="O43" s="77">
        <f t="shared" si="12"/>
        <v>1445875.0242738519</v>
      </c>
      <c r="P43" s="77">
        <f t="shared" si="13"/>
        <v>602019.93276477035</v>
      </c>
      <c r="Q43" s="24">
        <f t="shared" si="4"/>
        <v>602019.93276477035</v>
      </c>
      <c r="R43" s="77">
        <f t="shared" si="14"/>
        <v>2047894.9570386223</v>
      </c>
      <c r="S43" s="19">
        <f t="shared" si="9"/>
        <v>2047894.9570386223</v>
      </c>
      <c r="T43" s="77">
        <f t="shared" si="10"/>
        <v>159092773.71299824</v>
      </c>
      <c r="U43" s="19">
        <f t="shared" si="15"/>
        <v>2047894.9570386223</v>
      </c>
    </row>
    <row r="44" spans="13:21" x14ac:dyDescent="0.3">
      <c r="M44" s="19">
        <v>41</v>
      </c>
      <c r="N44" s="76">
        <f t="shared" si="3"/>
        <v>45444</v>
      </c>
      <c r="O44" s="77">
        <f t="shared" si="12"/>
        <v>1451297.0556148789</v>
      </c>
      <c r="P44" s="77">
        <f t="shared" si="13"/>
        <v>596597.90142374334</v>
      </c>
      <c r="Q44" s="24">
        <f t="shared" si="4"/>
        <v>596597.90142374334</v>
      </c>
      <c r="R44" s="77">
        <f t="shared" si="14"/>
        <v>2047894.9570386223</v>
      </c>
      <c r="S44" s="19">
        <f t="shared" si="9"/>
        <v>2047894.9570386223</v>
      </c>
      <c r="T44" s="77">
        <f t="shared" si="10"/>
        <v>157641476.65738335</v>
      </c>
      <c r="U44" s="19">
        <f t="shared" si="15"/>
        <v>2047894.9570386223</v>
      </c>
    </row>
    <row r="45" spans="13:21" x14ac:dyDescent="0.3">
      <c r="M45" s="20">
        <v>42</v>
      </c>
      <c r="N45" s="76">
        <f t="shared" si="3"/>
        <v>45474</v>
      </c>
      <c r="O45" s="77">
        <f t="shared" si="12"/>
        <v>1456739.4195734346</v>
      </c>
      <c r="P45" s="77">
        <f t="shared" si="13"/>
        <v>591155.5374651876</v>
      </c>
      <c r="Q45" s="24">
        <f t="shared" si="4"/>
        <v>591155.5374651876</v>
      </c>
      <c r="R45" s="77">
        <f t="shared" si="14"/>
        <v>2047894.9570386223</v>
      </c>
      <c r="S45" s="19">
        <f t="shared" si="9"/>
        <v>2047894.9570386223</v>
      </c>
      <c r="T45" s="77">
        <f t="shared" si="10"/>
        <v>156184737.23780993</v>
      </c>
      <c r="U45" s="19">
        <f t="shared" si="15"/>
        <v>2047894.9570386223</v>
      </c>
    </row>
    <row r="46" spans="13:21" x14ac:dyDescent="0.3">
      <c r="M46" s="19">
        <v>43</v>
      </c>
      <c r="N46" s="76">
        <f t="shared" si="3"/>
        <v>45505</v>
      </c>
      <c r="O46" s="77">
        <f t="shared" si="12"/>
        <v>1462202.192396835</v>
      </c>
      <c r="P46" s="77">
        <f t="shared" si="13"/>
        <v>585692.76464178727</v>
      </c>
      <c r="Q46" s="24">
        <f t="shared" si="4"/>
        <v>585692.76464178727</v>
      </c>
      <c r="R46" s="77">
        <f t="shared" si="14"/>
        <v>2047894.9570386223</v>
      </c>
      <c r="S46" s="19">
        <f t="shared" si="9"/>
        <v>2047894.9570386223</v>
      </c>
      <c r="T46" s="77">
        <f t="shared" si="10"/>
        <v>154722535.04541308</v>
      </c>
      <c r="U46" s="19">
        <f t="shared" si="15"/>
        <v>2047894.9570386223</v>
      </c>
    </row>
    <row r="47" spans="13:21" x14ac:dyDescent="0.3">
      <c r="M47" s="20">
        <v>44</v>
      </c>
      <c r="N47" s="76">
        <f t="shared" si="3"/>
        <v>45536</v>
      </c>
      <c r="O47" s="77">
        <f t="shared" si="12"/>
        <v>1467685.4506183234</v>
      </c>
      <c r="P47" s="77">
        <f t="shared" si="13"/>
        <v>580209.50642029906</v>
      </c>
      <c r="Q47" s="24">
        <f t="shared" si="4"/>
        <v>580209.50642029906</v>
      </c>
      <c r="R47" s="77">
        <f t="shared" si="14"/>
        <v>2047894.9570386223</v>
      </c>
      <c r="S47" s="19">
        <f t="shared" si="9"/>
        <v>2047894.9570386223</v>
      </c>
      <c r="T47" s="77">
        <f t="shared" si="10"/>
        <v>153254849.59479475</v>
      </c>
      <c r="U47" s="19">
        <f t="shared" si="15"/>
        <v>2047894.9570386223</v>
      </c>
    </row>
    <row r="48" spans="13:21" x14ac:dyDescent="0.3">
      <c r="M48" s="19">
        <v>45</v>
      </c>
      <c r="N48" s="76">
        <f t="shared" si="3"/>
        <v>45566</v>
      </c>
      <c r="O48" s="77">
        <f t="shared" si="12"/>
        <v>1473189.2710581422</v>
      </c>
      <c r="P48" s="77">
        <f t="shared" si="13"/>
        <v>574705.68598048028</v>
      </c>
      <c r="Q48" s="24">
        <f t="shared" si="4"/>
        <v>574705.68598048028</v>
      </c>
      <c r="R48" s="77">
        <f t="shared" si="14"/>
        <v>2047894.9570386223</v>
      </c>
      <c r="S48" s="19">
        <f t="shared" si="9"/>
        <v>2047894.9570386223</v>
      </c>
      <c r="T48" s="77">
        <f t="shared" si="10"/>
        <v>151781660.32373661</v>
      </c>
      <c r="U48" s="19">
        <f t="shared" si="15"/>
        <v>2047894.9570386223</v>
      </c>
    </row>
    <row r="49" spans="13:21" x14ac:dyDescent="0.3">
      <c r="M49" s="20">
        <v>46</v>
      </c>
      <c r="N49" s="76">
        <f t="shared" si="3"/>
        <v>45597</v>
      </c>
      <c r="O49" s="77">
        <f t="shared" si="12"/>
        <v>1478713.7308246102</v>
      </c>
      <c r="P49" s="77">
        <f t="shared" si="13"/>
        <v>569181.22621401225</v>
      </c>
      <c r="Q49" s="24">
        <f t="shared" si="4"/>
        <v>569181.22621401225</v>
      </c>
      <c r="R49" s="77">
        <f t="shared" si="14"/>
        <v>2047894.9570386223</v>
      </c>
      <c r="S49" s="19">
        <f t="shared" si="9"/>
        <v>2047894.9570386223</v>
      </c>
      <c r="T49" s="77">
        <f t="shared" si="10"/>
        <v>150302946.59291199</v>
      </c>
      <c r="U49" s="19">
        <f t="shared" si="15"/>
        <v>2047894.9570386223</v>
      </c>
    </row>
    <row r="50" spans="13:21" x14ac:dyDescent="0.3">
      <c r="M50" s="19">
        <v>47</v>
      </c>
      <c r="N50" s="76">
        <f t="shared" si="3"/>
        <v>45627</v>
      </c>
      <c r="O50" s="77">
        <f t="shared" si="12"/>
        <v>1484258.9073152025</v>
      </c>
      <c r="P50" s="77">
        <f t="shared" si="13"/>
        <v>563636.04972341994</v>
      </c>
      <c r="Q50" s="24">
        <f t="shared" si="4"/>
        <v>563636.04972341994</v>
      </c>
      <c r="R50" s="77">
        <f t="shared" si="14"/>
        <v>2047894.9570386223</v>
      </c>
      <c r="S50" s="19">
        <f t="shared" si="9"/>
        <v>2047894.9570386223</v>
      </c>
      <c r="T50" s="77">
        <f t="shared" si="10"/>
        <v>148818687.68559679</v>
      </c>
      <c r="U50" s="19">
        <f t="shared" si="15"/>
        <v>2047894.9570386223</v>
      </c>
    </row>
    <row r="51" spans="13:21" x14ac:dyDescent="0.3">
      <c r="M51" s="204">
        <v>48</v>
      </c>
      <c r="N51" s="205">
        <f t="shared" si="3"/>
        <v>45658</v>
      </c>
      <c r="O51" s="206">
        <f t="shared" si="12"/>
        <v>1489824.8782176343</v>
      </c>
      <c r="P51" s="206">
        <f t="shared" si="13"/>
        <v>558070.07882098795</v>
      </c>
      <c r="Q51" s="207">
        <f t="shared" si="4"/>
        <v>558070.07882098795</v>
      </c>
      <c r="R51" s="206">
        <f t="shared" si="14"/>
        <v>2047894.9570386223</v>
      </c>
      <c r="S51" s="204">
        <f t="shared" si="9"/>
        <v>2047894.9570386223</v>
      </c>
      <c r="T51" s="206">
        <f t="shared" si="10"/>
        <v>147328862.80737916</v>
      </c>
      <c r="U51" s="204">
        <f t="shared" si="15"/>
        <v>2047894.9570386223</v>
      </c>
    </row>
    <row r="52" spans="13:21" x14ac:dyDescent="0.3">
      <c r="M52" s="19">
        <v>49</v>
      </c>
      <c r="N52" s="76">
        <f t="shared" si="3"/>
        <v>45689</v>
      </c>
      <c r="O52" s="77">
        <f t="shared" si="12"/>
        <v>1495411.7215109505</v>
      </c>
      <c r="P52" s="77">
        <f t="shared" si="13"/>
        <v>552483.23552767176</v>
      </c>
      <c r="Q52" s="24">
        <f t="shared" si="4"/>
        <v>552483.23552767176</v>
      </c>
      <c r="R52" s="77">
        <f t="shared" si="14"/>
        <v>2047894.9570386223</v>
      </c>
      <c r="S52" s="19">
        <f t="shared" si="9"/>
        <v>2047894.9570386223</v>
      </c>
      <c r="T52" s="77">
        <f t="shared" si="10"/>
        <v>145833451.08586821</v>
      </c>
      <c r="U52" s="19">
        <f t="shared" si="15"/>
        <v>2047894.9570386223</v>
      </c>
    </row>
    <row r="53" spans="13:21" x14ac:dyDescent="0.3">
      <c r="M53" s="20">
        <v>50</v>
      </c>
      <c r="N53" s="76">
        <f t="shared" si="3"/>
        <v>45717</v>
      </c>
      <c r="O53" s="77">
        <f t="shared" si="12"/>
        <v>1501019.5154666165</v>
      </c>
      <c r="P53" s="77">
        <f t="shared" si="13"/>
        <v>546875.44157200574</v>
      </c>
      <c r="Q53" s="24">
        <f t="shared" si="4"/>
        <v>546875.44157200574</v>
      </c>
      <c r="R53" s="77">
        <f t="shared" si="14"/>
        <v>2047894.9570386223</v>
      </c>
      <c r="S53" s="19">
        <f t="shared" si="9"/>
        <v>2047894.9570386223</v>
      </c>
      <c r="T53" s="77">
        <f t="shared" si="10"/>
        <v>144332431.57040158</v>
      </c>
      <c r="U53" s="19">
        <f t="shared" si="15"/>
        <v>2047894.9570386223</v>
      </c>
    </row>
    <row r="54" spans="13:21" x14ac:dyDescent="0.3">
      <c r="M54" s="19">
        <v>51</v>
      </c>
      <c r="N54" s="76">
        <f t="shared" si="3"/>
        <v>45748</v>
      </c>
      <c r="O54" s="77">
        <f t="shared" si="12"/>
        <v>1506648.3386496166</v>
      </c>
      <c r="P54" s="77">
        <f t="shared" si="13"/>
        <v>541246.61838900589</v>
      </c>
      <c r="Q54" s="24">
        <f t="shared" si="4"/>
        <v>541246.61838900589</v>
      </c>
      <c r="R54" s="77">
        <f t="shared" si="14"/>
        <v>2047894.9570386223</v>
      </c>
      <c r="S54" s="19">
        <f t="shared" si="9"/>
        <v>2047894.9570386223</v>
      </c>
      <c r="T54" s="77">
        <f t="shared" si="10"/>
        <v>142825783.23175195</v>
      </c>
      <c r="U54" s="19">
        <f t="shared" si="15"/>
        <v>2047894.9570386223</v>
      </c>
    </row>
    <row r="55" spans="13:21" x14ac:dyDescent="0.3">
      <c r="M55" s="20">
        <v>52</v>
      </c>
      <c r="N55" s="76">
        <f t="shared" si="3"/>
        <v>45778</v>
      </c>
      <c r="O55" s="77">
        <f t="shared" si="12"/>
        <v>1512298.2699195524</v>
      </c>
      <c r="P55" s="77">
        <f t="shared" si="13"/>
        <v>535596.68711906986</v>
      </c>
      <c r="Q55" s="24">
        <f t="shared" si="4"/>
        <v>535596.68711906986</v>
      </c>
      <c r="R55" s="77">
        <f t="shared" si="14"/>
        <v>2047894.9570386223</v>
      </c>
      <c r="S55" s="19">
        <f t="shared" si="9"/>
        <v>2047894.9570386223</v>
      </c>
      <c r="T55" s="77">
        <f t="shared" si="10"/>
        <v>141313484.9618324</v>
      </c>
      <c r="U55" s="19">
        <f t="shared" si="15"/>
        <v>2047894.9570386223</v>
      </c>
    </row>
    <row r="56" spans="13:21" x14ac:dyDescent="0.3">
      <c r="M56" s="19">
        <v>53</v>
      </c>
      <c r="N56" s="76">
        <f t="shared" si="3"/>
        <v>45809</v>
      </c>
      <c r="O56" s="77">
        <f t="shared" si="12"/>
        <v>1517969.3884317507</v>
      </c>
      <c r="P56" s="77">
        <f t="shared" si="13"/>
        <v>529925.56860687153</v>
      </c>
      <c r="Q56" s="24">
        <f t="shared" si="4"/>
        <v>529925.56860687153</v>
      </c>
      <c r="R56" s="77">
        <f t="shared" si="14"/>
        <v>2047894.9570386223</v>
      </c>
      <c r="S56" s="19">
        <f t="shared" si="9"/>
        <v>2047894.9570386223</v>
      </c>
      <c r="T56" s="77">
        <f t="shared" si="10"/>
        <v>139795515.57340065</v>
      </c>
      <c r="U56" s="19">
        <f t="shared" si="15"/>
        <v>2047894.9570386223</v>
      </c>
    </row>
    <row r="57" spans="13:21" x14ac:dyDescent="0.3">
      <c r="M57" s="20">
        <v>54</v>
      </c>
      <c r="N57" s="76">
        <f t="shared" si="3"/>
        <v>45839</v>
      </c>
      <c r="O57" s="77">
        <f t="shared" si="12"/>
        <v>1523661.77363837</v>
      </c>
      <c r="P57" s="77">
        <f t="shared" si="13"/>
        <v>524233.18340025237</v>
      </c>
      <c r="Q57" s="24">
        <f t="shared" si="4"/>
        <v>524233.18340025237</v>
      </c>
      <c r="R57" s="77">
        <f t="shared" si="14"/>
        <v>2047894.9570386223</v>
      </c>
      <c r="S57" s="19">
        <f t="shared" si="9"/>
        <v>2047894.9570386223</v>
      </c>
      <c r="T57" s="77">
        <f t="shared" si="10"/>
        <v>138271853.79976228</v>
      </c>
      <c r="U57" s="19">
        <f t="shared" si="15"/>
        <v>2047894.9570386223</v>
      </c>
    </row>
    <row r="58" spans="13:21" x14ac:dyDescent="0.3">
      <c r="M58" s="19">
        <v>55</v>
      </c>
      <c r="N58" s="76">
        <f t="shared" si="3"/>
        <v>45870</v>
      </c>
      <c r="O58" s="77">
        <f t="shared" si="12"/>
        <v>1529375.5052895139</v>
      </c>
      <c r="P58" s="77">
        <f t="shared" si="13"/>
        <v>518519.4517491085</v>
      </c>
      <c r="Q58" s="24">
        <f t="shared" si="4"/>
        <v>518519.4517491085</v>
      </c>
      <c r="R58" s="77">
        <f t="shared" si="14"/>
        <v>2047894.9570386223</v>
      </c>
      <c r="S58" s="19">
        <f t="shared" si="9"/>
        <v>2047894.9570386223</v>
      </c>
      <c r="T58" s="77">
        <f t="shared" si="10"/>
        <v>136742478.29447275</v>
      </c>
      <c r="U58" s="19">
        <f t="shared" si="15"/>
        <v>2047894.9570386223</v>
      </c>
    </row>
    <row r="59" spans="13:21" x14ac:dyDescent="0.3">
      <c r="M59" s="20">
        <v>56</v>
      </c>
      <c r="N59" s="76">
        <f t="shared" si="3"/>
        <v>45901</v>
      </c>
      <c r="O59" s="77">
        <f t="shared" si="12"/>
        <v>1535110.6634343495</v>
      </c>
      <c r="P59" s="77">
        <f t="shared" si="13"/>
        <v>512784.29360427283</v>
      </c>
      <c r="Q59" s="24">
        <f t="shared" si="4"/>
        <v>512784.29360427283</v>
      </c>
      <c r="R59" s="77">
        <f t="shared" si="14"/>
        <v>2047894.9570386223</v>
      </c>
      <c r="S59" s="19">
        <f t="shared" si="9"/>
        <v>2047894.9570386223</v>
      </c>
      <c r="T59" s="77">
        <f t="shared" si="10"/>
        <v>135207367.6310384</v>
      </c>
      <c r="U59" s="19">
        <f t="shared" si="15"/>
        <v>2047894.9570386223</v>
      </c>
    </row>
    <row r="60" spans="13:21" x14ac:dyDescent="0.3">
      <c r="M60" s="19">
        <v>57</v>
      </c>
      <c r="N60" s="76">
        <f t="shared" si="3"/>
        <v>45931</v>
      </c>
      <c r="O60" s="77">
        <f t="shared" si="12"/>
        <v>1540867.3284222283</v>
      </c>
      <c r="P60" s="77">
        <f t="shared" si="13"/>
        <v>507027.62861639401</v>
      </c>
      <c r="Q60" s="24">
        <f t="shared" si="4"/>
        <v>507027.62861639401</v>
      </c>
      <c r="R60" s="77">
        <f t="shared" si="14"/>
        <v>2047894.9570386223</v>
      </c>
      <c r="S60" s="19">
        <f t="shared" si="9"/>
        <v>2047894.9570386223</v>
      </c>
      <c r="T60" s="77">
        <f t="shared" si="10"/>
        <v>133666500.30261616</v>
      </c>
      <c r="U60" s="19">
        <f t="shared" si="15"/>
        <v>2047894.9570386223</v>
      </c>
    </row>
    <row r="61" spans="13:21" x14ac:dyDescent="0.3">
      <c r="M61" s="20">
        <v>58</v>
      </c>
      <c r="N61" s="76">
        <f t="shared" si="3"/>
        <v>45962</v>
      </c>
      <c r="O61" s="77">
        <f t="shared" si="12"/>
        <v>1546645.5809038118</v>
      </c>
      <c r="P61" s="77">
        <f t="shared" si="13"/>
        <v>501249.37613481056</v>
      </c>
      <c r="Q61" s="24">
        <f t="shared" si="4"/>
        <v>501249.37613481056</v>
      </c>
      <c r="R61" s="77">
        <f t="shared" si="14"/>
        <v>2047894.9570386223</v>
      </c>
      <c r="S61" s="19">
        <f t="shared" si="9"/>
        <v>2047894.9570386223</v>
      </c>
      <c r="T61" s="77">
        <f t="shared" si="10"/>
        <v>132119854.72171235</v>
      </c>
      <c r="U61" s="19">
        <f t="shared" si="15"/>
        <v>2047894.9570386223</v>
      </c>
    </row>
    <row r="62" spans="13:21" x14ac:dyDescent="0.3">
      <c r="M62" s="19">
        <v>59</v>
      </c>
      <c r="N62" s="76">
        <f t="shared" si="3"/>
        <v>45992</v>
      </c>
      <c r="O62" s="77">
        <f t="shared" si="12"/>
        <v>1552445.5018322011</v>
      </c>
      <c r="P62" s="77">
        <f t="shared" si="13"/>
        <v>495449.45520642126</v>
      </c>
      <c r="Q62" s="24">
        <f t="shared" si="4"/>
        <v>495449.45520642126</v>
      </c>
      <c r="R62" s="77">
        <f t="shared" si="14"/>
        <v>2047894.9570386223</v>
      </c>
      <c r="S62" s="19">
        <f t="shared" si="9"/>
        <v>2047894.9570386223</v>
      </c>
      <c r="T62" s="77">
        <f t="shared" si="10"/>
        <v>130567409.21988015</v>
      </c>
      <c r="U62" s="19">
        <f t="shared" si="15"/>
        <v>2047894.9570386223</v>
      </c>
    </row>
    <row r="63" spans="13:21" x14ac:dyDescent="0.3">
      <c r="M63" s="20">
        <v>60</v>
      </c>
      <c r="N63" s="205">
        <f t="shared" si="3"/>
        <v>46023</v>
      </c>
      <c r="O63" s="206">
        <f t="shared" si="12"/>
        <v>1558267.1724640718</v>
      </c>
      <c r="P63" s="206">
        <f t="shared" si="13"/>
        <v>489627.78457455058</v>
      </c>
      <c r="Q63" s="207">
        <f t="shared" si="4"/>
        <v>489627.78457455058</v>
      </c>
      <c r="R63" s="206">
        <f t="shared" si="14"/>
        <v>2047894.9570386223</v>
      </c>
      <c r="S63" s="204">
        <f t="shared" si="9"/>
        <v>2047894.9570386223</v>
      </c>
      <c r="T63" s="206">
        <f t="shared" si="10"/>
        <v>129009142.04741608</v>
      </c>
      <c r="U63" s="204">
        <f t="shared" si="15"/>
        <v>2047894.9570386223</v>
      </c>
    </row>
    <row r="64" spans="13:21" x14ac:dyDescent="0.3">
      <c r="M64" s="19">
        <v>61</v>
      </c>
      <c r="N64" s="76">
        <f t="shared" si="3"/>
        <v>46054</v>
      </c>
      <c r="O64" s="77">
        <f t="shared" si="12"/>
        <v>1564110.6743608122</v>
      </c>
      <c r="P64" s="77">
        <f t="shared" si="13"/>
        <v>483784.28267781023</v>
      </c>
      <c r="Q64" s="24">
        <f t="shared" si="4"/>
        <v>483784.28267781023</v>
      </c>
      <c r="R64" s="77">
        <f t="shared" si="14"/>
        <v>2047894.9570386223</v>
      </c>
      <c r="S64" s="19">
        <f t="shared" si="9"/>
        <v>2047894.9570386223</v>
      </c>
      <c r="T64" s="77">
        <f t="shared" si="10"/>
        <v>127445031.37305526</v>
      </c>
      <c r="U64" s="19">
        <f t="shared" si="15"/>
        <v>2047894.9570386223</v>
      </c>
    </row>
    <row r="65" spans="13:21" x14ac:dyDescent="0.3">
      <c r="M65" s="20">
        <v>62</v>
      </c>
      <c r="N65" s="76">
        <f t="shared" si="3"/>
        <v>46082</v>
      </c>
      <c r="O65" s="77">
        <f t="shared" si="12"/>
        <v>1569976.0893896651</v>
      </c>
      <c r="P65" s="77">
        <f t="shared" si="13"/>
        <v>477918.86764895724</v>
      </c>
      <c r="Q65" s="24">
        <f t="shared" si="4"/>
        <v>477918.86764895724</v>
      </c>
      <c r="R65" s="77">
        <f t="shared" si="14"/>
        <v>2047894.9570386223</v>
      </c>
      <c r="S65" s="19">
        <f t="shared" si="9"/>
        <v>2047894.9570386223</v>
      </c>
      <c r="T65" s="77">
        <f t="shared" si="10"/>
        <v>125875055.2836656</v>
      </c>
      <c r="U65" s="19">
        <f t="shared" si="15"/>
        <v>2047894.9570386223</v>
      </c>
    </row>
    <row r="66" spans="13:21" x14ac:dyDescent="0.3">
      <c r="M66" s="19">
        <v>63</v>
      </c>
      <c r="N66" s="76">
        <f t="shared" si="3"/>
        <v>46113</v>
      </c>
      <c r="O66" s="77">
        <f t="shared" si="12"/>
        <v>1575863.4997248764</v>
      </c>
      <c r="P66" s="77">
        <f t="shared" si="13"/>
        <v>472031.45731374598</v>
      </c>
      <c r="Q66" s="24">
        <f t="shared" si="4"/>
        <v>472031.45731374598</v>
      </c>
      <c r="R66" s="77">
        <f t="shared" si="14"/>
        <v>2047894.9570386223</v>
      </c>
      <c r="S66" s="19">
        <f t="shared" si="9"/>
        <v>2047894.9570386223</v>
      </c>
      <c r="T66" s="77">
        <f t="shared" si="10"/>
        <v>124299191.78394072</v>
      </c>
      <c r="U66" s="19">
        <f t="shared" si="15"/>
        <v>2047894.9570386223</v>
      </c>
    </row>
    <row r="67" spans="13:21" x14ac:dyDescent="0.3">
      <c r="M67" s="20">
        <v>64</v>
      </c>
      <c r="N67" s="76">
        <f t="shared" si="3"/>
        <v>46143</v>
      </c>
      <c r="O67" s="77">
        <f t="shared" si="12"/>
        <v>1581772.9878488446</v>
      </c>
      <c r="P67" s="77">
        <f t="shared" si="13"/>
        <v>466121.96918977768</v>
      </c>
      <c r="Q67" s="24">
        <f t="shared" si="4"/>
        <v>466121.96918977768</v>
      </c>
      <c r="R67" s="77">
        <f t="shared" si="14"/>
        <v>2047894.9570386223</v>
      </c>
      <c r="S67" s="19">
        <f t="shared" si="9"/>
        <v>2047894.9570386223</v>
      </c>
      <c r="T67" s="77">
        <f t="shared" si="10"/>
        <v>122717418.79609187</v>
      </c>
      <c r="U67" s="19">
        <f t="shared" si="15"/>
        <v>2047894.9570386223</v>
      </c>
    </row>
    <row r="68" spans="13:21" x14ac:dyDescent="0.3">
      <c r="M68" s="19">
        <v>65</v>
      </c>
      <c r="N68" s="76">
        <f t="shared" ref="N68:N131" si="18">EDATE($Z$13,M68)</f>
        <v>46174</v>
      </c>
      <c r="O68" s="77">
        <f t="shared" si="12"/>
        <v>1587704.636553278</v>
      </c>
      <c r="P68" s="77">
        <f t="shared" si="13"/>
        <v>460190.32048534445</v>
      </c>
      <c r="Q68" s="24">
        <f t="shared" ref="Q68:Q131" si="19">IF(T68&gt;0,P68,IF(S68&gt;0,P68,0))</f>
        <v>460190.32048534445</v>
      </c>
      <c r="R68" s="77">
        <f t="shared" si="14"/>
        <v>2047894.9570386223</v>
      </c>
      <c r="S68" s="19">
        <f t="shared" si="9"/>
        <v>2047894.9570386223</v>
      </c>
      <c r="T68" s="77">
        <f t="shared" si="10"/>
        <v>121129714.1595386</v>
      </c>
      <c r="U68" s="19">
        <f t="shared" si="15"/>
        <v>2047894.9570386223</v>
      </c>
    </row>
    <row r="69" spans="13:21" x14ac:dyDescent="0.3">
      <c r="M69" s="20">
        <v>66</v>
      </c>
      <c r="N69" s="76">
        <f t="shared" si="18"/>
        <v>46204</v>
      </c>
      <c r="O69" s="77">
        <f t="shared" si="12"/>
        <v>1593658.5289403526</v>
      </c>
      <c r="P69" s="77">
        <f t="shared" si="13"/>
        <v>454236.42809826974</v>
      </c>
      <c r="Q69" s="24">
        <f t="shared" si="19"/>
        <v>454236.42809826974</v>
      </c>
      <c r="R69" s="77">
        <f t="shared" si="14"/>
        <v>2047894.9570386223</v>
      </c>
      <c r="S69" s="19">
        <f t="shared" ref="S69:S132" si="20">IF(M69&gt;$Z$12,0,(IF(M69&lt;=$W$17,0,$Z$14)))</f>
        <v>2047894.9570386223</v>
      </c>
      <c r="T69" s="77">
        <f t="shared" ref="T69:T132" si="21">T68-O69</f>
        <v>119536055.63059825</v>
      </c>
      <c r="U69" s="19">
        <f t="shared" si="15"/>
        <v>2047894.9570386223</v>
      </c>
    </row>
    <row r="70" spans="13:21" x14ac:dyDescent="0.3">
      <c r="M70" s="19">
        <v>67</v>
      </c>
      <c r="N70" s="76">
        <f t="shared" si="18"/>
        <v>46235</v>
      </c>
      <c r="O70" s="77">
        <f t="shared" ref="O70:O133" si="22">IF(M70&lt;=$W$17,0,(IF(M70&lt;=$Z$12,S70-P70,0)))</f>
        <v>1599634.748423879</v>
      </c>
      <c r="P70" s="77">
        <f t="shared" ref="P70:P133" si="23">T69*$W$15/12</f>
        <v>448260.20861474337</v>
      </c>
      <c r="Q70" s="24">
        <f t="shared" si="19"/>
        <v>448260.20861474337</v>
      </c>
      <c r="R70" s="77">
        <f t="shared" ref="R70:R133" si="24">IF(M70&gt;SUM($W$16:$W$17),0,SUM(O70,Q70))</f>
        <v>2047894.9570386223</v>
      </c>
      <c r="S70" s="19">
        <f t="shared" si="20"/>
        <v>2047894.9570386223</v>
      </c>
      <c r="T70" s="77">
        <f t="shared" si="21"/>
        <v>117936420.88217437</v>
      </c>
      <c r="U70" s="19">
        <f t="shared" ref="U70:U133" si="25">O70+Q70</f>
        <v>2047894.9570386223</v>
      </c>
    </row>
    <row r="71" spans="13:21" x14ac:dyDescent="0.3">
      <c r="M71" s="20">
        <v>68</v>
      </c>
      <c r="N71" s="76">
        <f t="shared" si="18"/>
        <v>46266</v>
      </c>
      <c r="O71" s="77">
        <f t="shared" si="22"/>
        <v>1605633.3787304685</v>
      </c>
      <c r="P71" s="77">
        <f t="shared" si="23"/>
        <v>442261.5783081539</v>
      </c>
      <c r="Q71" s="24">
        <f t="shared" si="19"/>
        <v>442261.5783081539</v>
      </c>
      <c r="R71" s="77">
        <f t="shared" si="24"/>
        <v>2047894.9570386223</v>
      </c>
      <c r="S71" s="19">
        <f t="shared" si="20"/>
        <v>2047894.9570386223</v>
      </c>
      <c r="T71" s="77">
        <f t="shared" si="21"/>
        <v>116330787.5034439</v>
      </c>
      <c r="U71" s="19">
        <f t="shared" si="25"/>
        <v>2047894.9570386223</v>
      </c>
    </row>
    <row r="72" spans="13:21" x14ac:dyDescent="0.3">
      <c r="M72" s="19">
        <v>69</v>
      </c>
      <c r="N72" s="76">
        <f t="shared" si="18"/>
        <v>46296</v>
      </c>
      <c r="O72" s="77">
        <f t="shared" si="22"/>
        <v>1611654.5039007077</v>
      </c>
      <c r="P72" s="77">
        <f t="shared" si="23"/>
        <v>436240.45313791459</v>
      </c>
      <c r="Q72" s="24">
        <f t="shared" si="19"/>
        <v>436240.45313791459</v>
      </c>
      <c r="R72" s="77">
        <f t="shared" si="24"/>
        <v>2047894.9570386223</v>
      </c>
      <c r="S72" s="19">
        <f t="shared" si="20"/>
        <v>2047894.9570386223</v>
      </c>
      <c r="T72" s="77">
        <f t="shared" si="21"/>
        <v>114719132.99954319</v>
      </c>
      <c r="U72" s="19">
        <f t="shared" si="25"/>
        <v>2047894.9570386223</v>
      </c>
    </row>
    <row r="73" spans="13:21" x14ac:dyDescent="0.3">
      <c r="M73" s="20">
        <v>70</v>
      </c>
      <c r="N73" s="76">
        <f t="shared" si="18"/>
        <v>46327</v>
      </c>
      <c r="O73" s="77">
        <f t="shared" si="22"/>
        <v>1617698.2082903355</v>
      </c>
      <c r="P73" s="77">
        <f t="shared" si="23"/>
        <v>430196.74874828692</v>
      </c>
      <c r="Q73" s="24">
        <f t="shared" si="19"/>
        <v>430196.74874828692</v>
      </c>
      <c r="R73" s="77">
        <f t="shared" si="24"/>
        <v>2047894.9570386223</v>
      </c>
      <c r="S73" s="19">
        <f t="shared" si="20"/>
        <v>2047894.9570386223</v>
      </c>
      <c r="T73" s="77">
        <f t="shared" si="21"/>
        <v>113101434.79125285</v>
      </c>
      <c r="U73" s="19">
        <f t="shared" si="25"/>
        <v>2047894.9570386223</v>
      </c>
    </row>
    <row r="74" spans="13:21" x14ac:dyDescent="0.3">
      <c r="M74" s="19">
        <v>71</v>
      </c>
      <c r="N74" s="76">
        <f t="shared" si="18"/>
        <v>46357</v>
      </c>
      <c r="O74" s="77">
        <f t="shared" si="22"/>
        <v>1623764.5765714243</v>
      </c>
      <c r="P74" s="77">
        <f t="shared" si="23"/>
        <v>424130.38046719815</v>
      </c>
      <c r="Q74" s="24">
        <f t="shared" si="19"/>
        <v>424130.38046719815</v>
      </c>
      <c r="R74" s="77">
        <f t="shared" si="24"/>
        <v>2047894.9570386223</v>
      </c>
      <c r="S74" s="19">
        <f t="shared" si="20"/>
        <v>2047894.9570386223</v>
      </c>
      <c r="T74" s="77">
        <f t="shared" si="21"/>
        <v>111477670.21468143</v>
      </c>
      <c r="U74" s="19">
        <f t="shared" si="25"/>
        <v>2047894.9570386223</v>
      </c>
    </row>
    <row r="75" spans="13:21" x14ac:dyDescent="0.3">
      <c r="M75" s="20">
        <v>72</v>
      </c>
      <c r="N75" s="205">
        <f t="shared" si="18"/>
        <v>46388</v>
      </c>
      <c r="O75" s="206">
        <f t="shared" si="22"/>
        <v>1629853.6937335669</v>
      </c>
      <c r="P75" s="206">
        <f t="shared" si="23"/>
        <v>418041.26330505538</v>
      </c>
      <c r="Q75" s="207">
        <f t="shared" si="19"/>
        <v>418041.26330505538</v>
      </c>
      <c r="R75" s="206">
        <f t="shared" si="24"/>
        <v>2047894.9570386223</v>
      </c>
      <c r="S75" s="204">
        <f t="shared" si="20"/>
        <v>2047894.9570386223</v>
      </c>
      <c r="T75" s="206">
        <f t="shared" si="21"/>
        <v>109847816.52094786</v>
      </c>
      <c r="U75" s="204">
        <f t="shared" si="25"/>
        <v>2047894.9570386223</v>
      </c>
    </row>
    <row r="76" spans="13:21" x14ac:dyDescent="0.3">
      <c r="M76" s="19">
        <v>73</v>
      </c>
      <c r="N76" s="76">
        <f t="shared" si="18"/>
        <v>46419</v>
      </c>
      <c r="O76" s="77">
        <f t="shared" si="22"/>
        <v>1635965.645085068</v>
      </c>
      <c r="P76" s="77">
        <f t="shared" si="23"/>
        <v>411929.31195355445</v>
      </c>
      <c r="Q76" s="24">
        <f t="shared" si="19"/>
        <v>411929.31195355445</v>
      </c>
      <c r="R76" s="77">
        <f t="shared" si="24"/>
        <v>2047894.9570386223</v>
      </c>
      <c r="S76" s="19">
        <f t="shared" si="20"/>
        <v>2047894.9570386223</v>
      </c>
      <c r="T76" s="77">
        <f t="shared" si="21"/>
        <v>108211850.87586279</v>
      </c>
      <c r="U76" s="19">
        <f t="shared" si="25"/>
        <v>2047894.9570386223</v>
      </c>
    </row>
    <row r="77" spans="13:21" x14ac:dyDescent="0.3">
      <c r="M77" s="20">
        <v>74</v>
      </c>
      <c r="N77" s="76">
        <f t="shared" si="18"/>
        <v>46447</v>
      </c>
      <c r="O77" s="77">
        <f t="shared" si="22"/>
        <v>1642100.5162541368</v>
      </c>
      <c r="P77" s="77">
        <f t="shared" si="23"/>
        <v>405794.44078448549</v>
      </c>
      <c r="Q77" s="24">
        <f t="shared" si="19"/>
        <v>405794.44078448549</v>
      </c>
      <c r="R77" s="77">
        <f t="shared" si="24"/>
        <v>2047894.9570386223</v>
      </c>
      <c r="S77" s="19">
        <f t="shared" si="20"/>
        <v>2047894.9570386223</v>
      </c>
      <c r="T77" s="77">
        <f t="shared" si="21"/>
        <v>106569750.35960865</v>
      </c>
      <c r="U77" s="19">
        <f t="shared" si="25"/>
        <v>2047894.9570386223</v>
      </c>
    </row>
    <row r="78" spans="13:21" x14ac:dyDescent="0.3">
      <c r="M78" s="19">
        <v>75</v>
      </c>
      <c r="N78" s="76">
        <f t="shared" si="18"/>
        <v>46478</v>
      </c>
      <c r="O78" s="77">
        <f t="shared" si="22"/>
        <v>1648258.3931900898</v>
      </c>
      <c r="P78" s="77">
        <f t="shared" si="23"/>
        <v>399636.56384853245</v>
      </c>
      <c r="Q78" s="24">
        <f t="shared" si="19"/>
        <v>399636.56384853245</v>
      </c>
      <c r="R78" s="77">
        <f t="shared" si="24"/>
        <v>2047894.9570386223</v>
      </c>
      <c r="S78" s="19">
        <f t="shared" si="20"/>
        <v>2047894.9570386223</v>
      </c>
      <c r="T78" s="77">
        <f t="shared" si="21"/>
        <v>104921491.96641856</v>
      </c>
      <c r="U78" s="19">
        <f t="shared" si="25"/>
        <v>2047894.9570386223</v>
      </c>
    </row>
    <row r="79" spans="13:21" x14ac:dyDescent="0.3">
      <c r="M79" s="20">
        <v>76</v>
      </c>
      <c r="N79" s="76">
        <f t="shared" si="18"/>
        <v>46508</v>
      </c>
      <c r="O79" s="77">
        <f t="shared" si="22"/>
        <v>1654439.3621645528</v>
      </c>
      <c r="P79" s="77">
        <f t="shared" si="23"/>
        <v>393455.59487406962</v>
      </c>
      <c r="Q79" s="24">
        <f t="shared" si="19"/>
        <v>393455.59487406962</v>
      </c>
      <c r="R79" s="77">
        <f t="shared" si="24"/>
        <v>2047894.9570386223</v>
      </c>
      <c r="S79" s="19">
        <f t="shared" si="20"/>
        <v>2047894.9570386223</v>
      </c>
      <c r="T79" s="77">
        <f t="shared" si="21"/>
        <v>103267052.60425401</v>
      </c>
      <c r="U79" s="19">
        <f t="shared" si="25"/>
        <v>2047894.9570386223</v>
      </c>
    </row>
    <row r="80" spans="13:21" x14ac:dyDescent="0.3">
      <c r="M80" s="19">
        <v>77</v>
      </c>
      <c r="N80" s="76">
        <f t="shared" si="18"/>
        <v>46539</v>
      </c>
      <c r="O80" s="77">
        <f t="shared" si="22"/>
        <v>1660643.5097726698</v>
      </c>
      <c r="P80" s="77">
        <f t="shared" si="23"/>
        <v>387251.44726595253</v>
      </c>
      <c r="Q80" s="24">
        <f t="shared" si="19"/>
        <v>387251.44726595253</v>
      </c>
      <c r="R80" s="77">
        <f t="shared" si="24"/>
        <v>2047894.9570386223</v>
      </c>
      <c r="S80" s="19">
        <f t="shared" si="20"/>
        <v>2047894.9570386223</v>
      </c>
      <c r="T80" s="77">
        <f t="shared" si="21"/>
        <v>101606409.09448133</v>
      </c>
      <c r="U80" s="19">
        <f t="shared" si="25"/>
        <v>2047894.9570386223</v>
      </c>
    </row>
    <row r="81" spans="13:21" x14ac:dyDescent="0.3">
      <c r="M81" s="20">
        <v>78</v>
      </c>
      <c r="N81" s="76">
        <f t="shared" si="18"/>
        <v>46569</v>
      </c>
      <c r="O81" s="77">
        <f t="shared" si="22"/>
        <v>1666870.9229343173</v>
      </c>
      <c r="P81" s="77">
        <f t="shared" si="23"/>
        <v>381024.03410430503</v>
      </c>
      <c r="Q81" s="24">
        <f t="shared" si="19"/>
        <v>381024.03410430503</v>
      </c>
      <c r="R81" s="77">
        <f t="shared" si="24"/>
        <v>2047894.9570386223</v>
      </c>
      <c r="S81" s="19">
        <f t="shared" si="20"/>
        <v>2047894.9570386223</v>
      </c>
      <c r="T81" s="77">
        <f t="shared" si="21"/>
        <v>99939538.171547011</v>
      </c>
      <c r="U81" s="19">
        <f t="shared" si="25"/>
        <v>2047894.9570386223</v>
      </c>
    </row>
    <row r="82" spans="13:21" x14ac:dyDescent="0.3">
      <c r="M82" s="19">
        <v>79</v>
      </c>
      <c r="N82" s="76">
        <f t="shared" si="18"/>
        <v>46600</v>
      </c>
      <c r="O82" s="77">
        <f t="shared" si="22"/>
        <v>1673121.688895321</v>
      </c>
      <c r="P82" s="77">
        <f t="shared" si="23"/>
        <v>374773.26814330131</v>
      </c>
      <c r="Q82" s="24">
        <f t="shared" si="19"/>
        <v>374773.26814330131</v>
      </c>
      <c r="R82" s="77">
        <f t="shared" si="24"/>
        <v>2047894.9570386223</v>
      </c>
      <c r="S82" s="19">
        <f t="shared" si="20"/>
        <v>2047894.9570386223</v>
      </c>
      <c r="T82" s="77">
        <f t="shared" si="21"/>
        <v>98266416.482651696</v>
      </c>
      <c r="U82" s="19">
        <f t="shared" si="25"/>
        <v>2047894.9570386223</v>
      </c>
    </row>
    <row r="83" spans="13:21" x14ac:dyDescent="0.3">
      <c r="M83" s="20">
        <v>80</v>
      </c>
      <c r="N83" s="76">
        <f t="shared" si="18"/>
        <v>46631</v>
      </c>
      <c r="O83" s="77">
        <f t="shared" si="22"/>
        <v>1679395.8952286786</v>
      </c>
      <c r="P83" s="77">
        <f t="shared" si="23"/>
        <v>368499.06180994381</v>
      </c>
      <c r="Q83" s="24">
        <f t="shared" si="19"/>
        <v>368499.06180994381</v>
      </c>
      <c r="R83" s="77">
        <f t="shared" si="24"/>
        <v>2047894.9570386223</v>
      </c>
      <c r="S83" s="19">
        <f t="shared" si="20"/>
        <v>2047894.9570386223</v>
      </c>
      <c r="T83" s="77">
        <f t="shared" si="21"/>
        <v>96587020.587423012</v>
      </c>
      <c r="U83" s="19">
        <f t="shared" si="25"/>
        <v>2047894.9570386223</v>
      </c>
    </row>
    <row r="84" spans="13:21" x14ac:dyDescent="0.3">
      <c r="M84" s="19">
        <v>81</v>
      </c>
      <c r="N84" s="76">
        <f t="shared" si="18"/>
        <v>46661</v>
      </c>
      <c r="O84" s="77">
        <f t="shared" si="22"/>
        <v>1685693.6298357861</v>
      </c>
      <c r="P84" s="77">
        <f t="shared" si="23"/>
        <v>362201.32720283628</v>
      </c>
      <c r="Q84" s="24">
        <f t="shared" si="19"/>
        <v>362201.32720283628</v>
      </c>
      <c r="R84" s="77">
        <f t="shared" si="24"/>
        <v>2047894.9570386223</v>
      </c>
      <c r="S84" s="19">
        <f t="shared" si="20"/>
        <v>2047894.9570386223</v>
      </c>
      <c r="T84" s="77">
        <f t="shared" si="21"/>
        <v>94901326.957587227</v>
      </c>
      <c r="U84" s="19">
        <f t="shared" si="25"/>
        <v>2047894.9570386223</v>
      </c>
    </row>
    <row r="85" spans="13:21" x14ac:dyDescent="0.3">
      <c r="M85" s="20">
        <v>82</v>
      </c>
      <c r="N85" s="76">
        <f t="shared" si="18"/>
        <v>46692</v>
      </c>
      <c r="O85" s="77">
        <f t="shared" si="22"/>
        <v>1692014.9809476703</v>
      </c>
      <c r="P85" s="77">
        <f t="shared" si="23"/>
        <v>355879.97609095206</v>
      </c>
      <c r="Q85" s="24">
        <f t="shared" si="19"/>
        <v>355879.97609095206</v>
      </c>
      <c r="R85" s="77">
        <f t="shared" si="24"/>
        <v>2047894.9570386223</v>
      </c>
      <c r="S85" s="19">
        <f t="shared" si="20"/>
        <v>2047894.9570386223</v>
      </c>
      <c r="T85" s="77">
        <f t="shared" si="21"/>
        <v>93209311.976639554</v>
      </c>
      <c r="U85" s="19">
        <f t="shared" si="25"/>
        <v>2047894.9570386223</v>
      </c>
    </row>
    <row r="86" spans="13:21" x14ac:dyDescent="0.3">
      <c r="M86" s="19">
        <v>83</v>
      </c>
      <c r="N86" s="76">
        <f t="shared" si="18"/>
        <v>46722</v>
      </c>
      <c r="O86" s="77">
        <f t="shared" si="22"/>
        <v>1698360.037126224</v>
      </c>
      <c r="P86" s="77">
        <f t="shared" si="23"/>
        <v>349534.91991239833</v>
      </c>
      <c r="Q86" s="24">
        <f t="shared" si="19"/>
        <v>349534.91991239833</v>
      </c>
      <c r="R86" s="77">
        <f t="shared" si="24"/>
        <v>2047894.9570386223</v>
      </c>
      <c r="S86" s="19">
        <f t="shared" si="20"/>
        <v>2047894.9570386223</v>
      </c>
      <c r="T86" s="77">
        <f t="shared" si="21"/>
        <v>91510951.939513326</v>
      </c>
      <c r="U86" s="19">
        <f t="shared" si="25"/>
        <v>2047894.9570386223</v>
      </c>
    </row>
    <row r="87" spans="13:21" x14ac:dyDescent="0.3">
      <c r="M87" s="20">
        <v>84</v>
      </c>
      <c r="N87" s="205">
        <f t="shared" si="18"/>
        <v>46753</v>
      </c>
      <c r="O87" s="206">
        <f t="shared" si="22"/>
        <v>1704728.8872654473</v>
      </c>
      <c r="P87" s="206">
        <f t="shared" si="23"/>
        <v>343166.069773175</v>
      </c>
      <c r="Q87" s="207">
        <f t="shared" si="19"/>
        <v>343166.069773175</v>
      </c>
      <c r="R87" s="206">
        <f t="shared" si="24"/>
        <v>2047894.9570386223</v>
      </c>
      <c r="S87" s="204">
        <f t="shared" si="20"/>
        <v>2047894.9570386223</v>
      </c>
      <c r="T87" s="206">
        <f t="shared" si="21"/>
        <v>89806223.052247882</v>
      </c>
      <c r="U87" s="204">
        <f t="shared" si="25"/>
        <v>2047894.9570386223</v>
      </c>
    </row>
    <row r="88" spans="13:21" x14ac:dyDescent="0.3">
      <c r="M88" s="19">
        <v>85</v>
      </c>
      <c r="N88" s="76">
        <f t="shared" si="18"/>
        <v>46784</v>
      </c>
      <c r="O88" s="77">
        <f t="shared" si="22"/>
        <v>1711121.6205926929</v>
      </c>
      <c r="P88" s="77">
        <f t="shared" si="23"/>
        <v>336773.33644592954</v>
      </c>
      <c r="Q88" s="24">
        <f t="shared" si="19"/>
        <v>336773.33644592954</v>
      </c>
      <c r="R88" s="77">
        <f t="shared" si="24"/>
        <v>2047894.9570386223</v>
      </c>
      <c r="S88" s="19">
        <f t="shared" si="20"/>
        <v>2047894.9570386223</v>
      </c>
      <c r="T88" s="77">
        <f t="shared" si="21"/>
        <v>88095101.431655183</v>
      </c>
      <c r="U88" s="19">
        <f t="shared" si="25"/>
        <v>2047894.9570386223</v>
      </c>
    </row>
    <row r="89" spans="13:21" x14ac:dyDescent="0.3">
      <c r="M89" s="20">
        <v>86</v>
      </c>
      <c r="N89" s="76">
        <f t="shared" si="18"/>
        <v>46813</v>
      </c>
      <c r="O89" s="77">
        <f t="shared" si="22"/>
        <v>1717538.3266699153</v>
      </c>
      <c r="P89" s="77">
        <f t="shared" si="23"/>
        <v>330356.63036870694</v>
      </c>
      <c r="Q89" s="24">
        <f t="shared" si="19"/>
        <v>330356.63036870694</v>
      </c>
      <c r="R89" s="77">
        <f t="shared" si="24"/>
        <v>2047894.9570386223</v>
      </c>
      <c r="S89" s="19">
        <f t="shared" si="20"/>
        <v>2047894.9570386223</v>
      </c>
      <c r="T89" s="77">
        <f t="shared" si="21"/>
        <v>86377563.104985267</v>
      </c>
      <c r="U89" s="19">
        <f t="shared" si="25"/>
        <v>2047894.9570386223</v>
      </c>
    </row>
    <row r="90" spans="13:21" x14ac:dyDescent="0.3">
      <c r="M90" s="19">
        <v>87</v>
      </c>
      <c r="N90" s="76">
        <f t="shared" si="18"/>
        <v>46844</v>
      </c>
      <c r="O90" s="77">
        <f t="shared" si="22"/>
        <v>1723979.0953949275</v>
      </c>
      <c r="P90" s="77">
        <f t="shared" si="23"/>
        <v>323915.86164369475</v>
      </c>
      <c r="Q90" s="24">
        <f t="shared" si="19"/>
        <v>323915.86164369475</v>
      </c>
      <c r="R90" s="77">
        <f t="shared" si="24"/>
        <v>2047894.9570386223</v>
      </c>
      <c r="S90" s="19">
        <f t="shared" si="20"/>
        <v>2047894.9570386223</v>
      </c>
      <c r="T90" s="77">
        <f t="shared" si="21"/>
        <v>84653584.009590343</v>
      </c>
      <c r="U90" s="19">
        <f t="shared" si="25"/>
        <v>2047894.9570386223</v>
      </c>
    </row>
    <row r="91" spans="13:21" x14ac:dyDescent="0.3">
      <c r="M91" s="20">
        <v>88</v>
      </c>
      <c r="N91" s="76">
        <f t="shared" si="18"/>
        <v>46874</v>
      </c>
      <c r="O91" s="77">
        <f t="shared" si="22"/>
        <v>1730444.0170026585</v>
      </c>
      <c r="P91" s="77">
        <f t="shared" si="23"/>
        <v>317450.94003596378</v>
      </c>
      <c r="Q91" s="24">
        <f t="shared" si="19"/>
        <v>317450.94003596378</v>
      </c>
      <c r="R91" s="77">
        <f t="shared" si="24"/>
        <v>2047894.9570386223</v>
      </c>
      <c r="S91" s="19">
        <f t="shared" si="20"/>
        <v>2047894.9570386223</v>
      </c>
      <c r="T91" s="77">
        <f t="shared" si="21"/>
        <v>82923139.992587686</v>
      </c>
      <c r="U91" s="19">
        <f t="shared" si="25"/>
        <v>2047894.9570386223</v>
      </c>
    </row>
    <row r="92" spans="13:21" x14ac:dyDescent="0.3">
      <c r="M92" s="19">
        <v>89</v>
      </c>
      <c r="N92" s="76">
        <f t="shared" si="18"/>
        <v>46905</v>
      </c>
      <c r="O92" s="77">
        <f t="shared" si="22"/>
        <v>1736933.1820664185</v>
      </c>
      <c r="P92" s="77">
        <f t="shared" si="23"/>
        <v>310961.77497220383</v>
      </c>
      <c r="Q92" s="24">
        <f t="shared" si="19"/>
        <v>310961.77497220383</v>
      </c>
      <c r="R92" s="77">
        <f t="shared" si="24"/>
        <v>2047894.9570386223</v>
      </c>
      <c r="S92" s="19">
        <f t="shared" si="20"/>
        <v>2047894.9570386223</v>
      </c>
      <c r="T92" s="77">
        <f t="shared" si="21"/>
        <v>81186206.81052126</v>
      </c>
      <c r="U92" s="19">
        <f t="shared" si="25"/>
        <v>2047894.9570386223</v>
      </c>
    </row>
    <row r="93" spans="13:21" x14ac:dyDescent="0.3">
      <c r="M93" s="20">
        <v>90</v>
      </c>
      <c r="N93" s="76">
        <f t="shared" si="18"/>
        <v>46935</v>
      </c>
      <c r="O93" s="77">
        <f t="shared" si="22"/>
        <v>1743446.6814991676</v>
      </c>
      <c r="P93" s="77">
        <f t="shared" si="23"/>
        <v>304448.27553945471</v>
      </c>
      <c r="Q93" s="24">
        <f t="shared" si="19"/>
        <v>304448.27553945471</v>
      </c>
      <c r="R93" s="77">
        <f t="shared" si="24"/>
        <v>2047894.9570386223</v>
      </c>
      <c r="S93" s="19">
        <f t="shared" si="20"/>
        <v>2047894.9570386223</v>
      </c>
      <c r="T93" s="77">
        <f t="shared" si="21"/>
        <v>79442760.129022092</v>
      </c>
      <c r="U93" s="19">
        <f t="shared" si="25"/>
        <v>2047894.9570386223</v>
      </c>
    </row>
    <row r="94" spans="13:21" x14ac:dyDescent="0.3">
      <c r="M94" s="19">
        <v>91</v>
      </c>
      <c r="N94" s="76">
        <f t="shared" si="18"/>
        <v>46966</v>
      </c>
      <c r="O94" s="77">
        <f t="shared" si="22"/>
        <v>1749984.6065547895</v>
      </c>
      <c r="P94" s="77">
        <f t="shared" si="23"/>
        <v>297910.35048383282</v>
      </c>
      <c r="Q94" s="24">
        <f t="shared" si="19"/>
        <v>297910.35048383282</v>
      </c>
      <c r="R94" s="77">
        <f t="shared" si="24"/>
        <v>2047894.9570386223</v>
      </c>
      <c r="S94" s="19">
        <f t="shared" si="20"/>
        <v>2047894.9570386223</v>
      </c>
      <c r="T94" s="77">
        <f t="shared" si="21"/>
        <v>77692775.5224673</v>
      </c>
      <c r="U94" s="19">
        <f t="shared" si="25"/>
        <v>2047894.9570386223</v>
      </c>
    </row>
    <row r="95" spans="13:21" x14ac:dyDescent="0.3">
      <c r="M95" s="20">
        <v>92</v>
      </c>
      <c r="N95" s="76">
        <f t="shared" si="18"/>
        <v>46997</v>
      </c>
      <c r="O95" s="77">
        <f t="shared" si="22"/>
        <v>1756547.0488293699</v>
      </c>
      <c r="P95" s="77">
        <f t="shared" si="23"/>
        <v>291347.90820925235</v>
      </c>
      <c r="Q95" s="24">
        <f t="shared" si="19"/>
        <v>291347.90820925235</v>
      </c>
      <c r="R95" s="77">
        <f t="shared" si="24"/>
        <v>2047894.9570386223</v>
      </c>
      <c r="S95" s="19">
        <f t="shared" si="20"/>
        <v>2047894.9570386223</v>
      </c>
      <c r="T95" s="77">
        <f t="shared" si="21"/>
        <v>75936228.473637924</v>
      </c>
      <c r="U95" s="19">
        <f t="shared" si="25"/>
        <v>2047894.9570386223</v>
      </c>
    </row>
    <row r="96" spans="13:21" x14ac:dyDescent="0.3">
      <c r="M96" s="19">
        <v>93</v>
      </c>
      <c r="N96" s="76">
        <f t="shared" si="18"/>
        <v>47027</v>
      </c>
      <c r="O96" s="77">
        <f t="shared" si="22"/>
        <v>1763134.1002624801</v>
      </c>
      <c r="P96" s="77">
        <f t="shared" si="23"/>
        <v>284760.8567761422</v>
      </c>
      <c r="Q96" s="24">
        <f t="shared" si="19"/>
        <v>284760.8567761422</v>
      </c>
      <c r="R96" s="77">
        <f t="shared" si="24"/>
        <v>2047894.9570386223</v>
      </c>
      <c r="S96" s="19">
        <f t="shared" si="20"/>
        <v>2047894.9570386223</v>
      </c>
      <c r="T96" s="77">
        <f t="shared" si="21"/>
        <v>74173094.373375446</v>
      </c>
      <c r="U96" s="19">
        <f t="shared" si="25"/>
        <v>2047894.9570386223</v>
      </c>
    </row>
    <row r="97" spans="13:21" x14ac:dyDescent="0.3">
      <c r="M97" s="20">
        <v>94</v>
      </c>
      <c r="N97" s="76">
        <f t="shared" si="18"/>
        <v>47058</v>
      </c>
      <c r="O97" s="77">
        <f t="shared" si="22"/>
        <v>1769745.8531384645</v>
      </c>
      <c r="P97" s="77">
        <f t="shared" si="23"/>
        <v>278149.1039001579</v>
      </c>
      <c r="Q97" s="24">
        <f t="shared" si="19"/>
        <v>278149.1039001579</v>
      </c>
      <c r="R97" s="77">
        <f t="shared" si="24"/>
        <v>2047894.9570386223</v>
      </c>
      <c r="S97" s="19">
        <f t="shared" si="20"/>
        <v>2047894.9570386223</v>
      </c>
      <c r="T97" s="77">
        <f t="shared" si="21"/>
        <v>72403348.520236984</v>
      </c>
      <c r="U97" s="19">
        <f t="shared" si="25"/>
        <v>2047894.9570386223</v>
      </c>
    </row>
    <row r="98" spans="13:21" x14ac:dyDescent="0.3">
      <c r="M98" s="19">
        <v>95</v>
      </c>
      <c r="N98" s="76">
        <f t="shared" si="18"/>
        <v>47088</v>
      </c>
      <c r="O98" s="77">
        <f t="shared" si="22"/>
        <v>1776382.4000877338</v>
      </c>
      <c r="P98" s="77">
        <f t="shared" si="23"/>
        <v>271512.55695088865</v>
      </c>
      <c r="Q98" s="24">
        <f t="shared" si="19"/>
        <v>271512.55695088865</v>
      </c>
      <c r="R98" s="77">
        <f t="shared" si="24"/>
        <v>2047894.9570386223</v>
      </c>
      <c r="S98" s="19">
        <f t="shared" si="20"/>
        <v>2047894.9570386223</v>
      </c>
      <c r="T98" s="77">
        <f t="shared" si="21"/>
        <v>70626966.120149255</v>
      </c>
      <c r="U98" s="19">
        <f t="shared" si="25"/>
        <v>2047894.9570386223</v>
      </c>
    </row>
    <row r="99" spans="13:21" x14ac:dyDescent="0.3">
      <c r="M99" s="20">
        <v>96</v>
      </c>
      <c r="N99" s="205">
        <f t="shared" si="18"/>
        <v>47119</v>
      </c>
      <c r="O99" s="206">
        <f t="shared" si="22"/>
        <v>1783043.8340880626</v>
      </c>
      <c r="P99" s="206">
        <f t="shared" si="23"/>
        <v>264851.12295055971</v>
      </c>
      <c r="Q99" s="207">
        <f t="shared" si="19"/>
        <v>264851.12295055971</v>
      </c>
      <c r="R99" s="206">
        <f t="shared" si="24"/>
        <v>2047894.9570386223</v>
      </c>
      <c r="S99" s="204">
        <f t="shared" si="20"/>
        <v>2047894.9570386223</v>
      </c>
      <c r="T99" s="206">
        <f t="shared" si="21"/>
        <v>68843922.286061198</v>
      </c>
      <c r="U99" s="204">
        <f t="shared" si="25"/>
        <v>2047894.9570386223</v>
      </c>
    </row>
    <row r="100" spans="13:21" x14ac:dyDescent="0.3">
      <c r="M100" s="19">
        <v>97</v>
      </c>
      <c r="N100" s="76">
        <f t="shared" si="18"/>
        <v>47150</v>
      </c>
      <c r="O100" s="77">
        <f t="shared" si="22"/>
        <v>1789730.2484658929</v>
      </c>
      <c r="P100" s="77">
        <f t="shared" si="23"/>
        <v>258164.70857272949</v>
      </c>
      <c r="Q100" s="24">
        <f t="shared" si="19"/>
        <v>258164.70857272949</v>
      </c>
      <c r="R100" s="77">
        <f t="shared" si="24"/>
        <v>2047894.9570386223</v>
      </c>
      <c r="S100" s="19">
        <f t="shared" si="20"/>
        <v>2047894.9570386223</v>
      </c>
      <c r="T100" s="77">
        <f t="shared" si="21"/>
        <v>67054192.037595302</v>
      </c>
      <c r="U100" s="19">
        <f t="shared" si="25"/>
        <v>2047894.9570386223</v>
      </c>
    </row>
    <row r="101" spans="13:21" x14ac:dyDescent="0.3">
      <c r="M101" s="20">
        <v>98</v>
      </c>
      <c r="N101" s="76">
        <f t="shared" si="18"/>
        <v>47178</v>
      </c>
      <c r="O101" s="77">
        <f t="shared" si="22"/>
        <v>1796441.7368976399</v>
      </c>
      <c r="P101" s="77">
        <f t="shared" si="23"/>
        <v>251453.22014098239</v>
      </c>
      <c r="Q101" s="24">
        <f t="shared" si="19"/>
        <v>251453.22014098239</v>
      </c>
      <c r="R101" s="77">
        <f t="shared" si="24"/>
        <v>2047894.9570386223</v>
      </c>
      <c r="S101" s="19">
        <f t="shared" si="20"/>
        <v>2047894.9570386223</v>
      </c>
      <c r="T101" s="77">
        <f t="shared" si="21"/>
        <v>65257750.300697662</v>
      </c>
      <c r="U101" s="19">
        <f t="shared" si="25"/>
        <v>2047894.9570386223</v>
      </c>
    </row>
    <row r="102" spans="13:21" x14ac:dyDescent="0.3">
      <c r="M102" s="19">
        <v>99</v>
      </c>
      <c r="N102" s="76">
        <f t="shared" si="18"/>
        <v>47209</v>
      </c>
      <c r="O102" s="77">
        <f t="shared" si="22"/>
        <v>1803178.3934110061</v>
      </c>
      <c r="P102" s="77">
        <f t="shared" si="23"/>
        <v>244716.56362761624</v>
      </c>
      <c r="Q102" s="24">
        <f t="shared" si="19"/>
        <v>244716.56362761624</v>
      </c>
      <c r="R102" s="77">
        <f t="shared" si="24"/>
        <v>2047894.9570386223</v>
      </c>
      <c r="S102" s="19">
        <f t="shared" si="20"/>
        <v>2047894.9570386223</v>
      </c>
      <c r="T102" s="77">
        <f t="shared" si="21"/>
        <v>63454571.907286659</v>
      </c>
      <c r="U102" s="19">
        <f t="shared" si="25"/>
        <v>2047894.9570386223</v>
      </c>
    </row>
    <row r="103" spans="13:21" x14ac:dyDescent="0.3">
      <c r="M103" s="20">
        <v>100</v>
      </c>
      <c r="N103" s="76">
        <f t="shared" si="18"/>
        <v>47239</v>
      </c>
      <c r="O103" s="77">
        <f t="shared" si="22"/>
        <v>1809940.3123862974</v>
      </c>
      <c r="P103" s="77">
        <f t="shared" si="23"/>
        <v>237954.64465232496</v>
      </c>
      <c r="Q103" s="24">
        <f t="shared" si="19"/>
        <v>237954.64465232496</v>
      </c>
      <c r="R103" s="77">
        <f t="shared" si="24"/>
        <v>2047894.9570386223</v>
      </c>
      <c r="S103" s="19">
        <f t="shared" si="20"/>
        <v>2047894.9570386223</v>
      </c>
      <c r="T103" s="77">
        <f t="shared" si="21"/>
        <v>61644631.594900362</v>
      </c>
      <c r="U103" s="19">
        <f t="shared" si="25"/>
        <v>2047894.9570386223</v>
      </c>
    </row>
    <row r="104" spans="13:21" x14ac:dyDescent="0.3">
      <c r="M104" s="19">
        <v>101</v>
      </c>
      <c r="N104" s="76">
        <f t="shared" si="18"/>
        <v>47270</v>
      </c>
      <c r="O104" s="77">
        <f t="shared" si="22"/>
        <v>1816727.588557746</v>
      </c>
      <c r="P104" s="77">
        <f t="shared" si="23"/>
        <v>231167.36848087635</v>
      </c>
      <c r="Q104" s="24">
        <f t="shared" si="19"/>
        <v>231167.36848087635</v>
      </c>
      <c r="R104" s="77">
        <f t="shared" si="24"/>
        <v>2047894.9570386223</v>
      </c>
      <c r="S104" s="19">
        <f t="shared" si="20"/>
        <v>2047894.9570386223</v>
      </c>
      <c r="T104" s="77">
        <f t="shared" si="21"/>
        <v>59827904.00634262</v>
      </c>
      <c r="U104" s="19">
        <f t="shared" si="25"/>
        <v>2047894.9570386223</v>
      </c>
    </row>
    <row r="105" spans="13:21" x14ac:dyDescent="0.3">
      <c r="M105" s="20">
        <v>102</v>
      </c>
      <c r="N105" s="76">
        <f t="shared" si="18"/>
        <v>47300</v>
      </c>
      <c r="O105" s="77">
        <f t="shared" si="22"/>
        <v>1823540.3170148376</v>
      </c>
      <c r="P105" s="77">
        <f t="shared" si="23"/>
        <v>224354.64002378483</v>
      </c>
      <c r="Q105" s="24">
        <f t="shared" si="19"/>
        <v>224354.64002378483</v>
      </c>
      <c r="R105" s="77">
        <f t="shared" si="24"/>
        <v>2047894.9570386223</v>
      </c>
      <c r="S105" s="19">
        <f t="shared" si="20"/>
        <v>2047894.9570386223</v>
      </c>
      <c r="T105" s="77">
        <f t="shared" si="21"/>
        <v>58004363.689327784</v>
      </c>
      <c r="U105" s="19">
        <f t="shared" si="25"/>
        <v>2047894.9570386223</v>
      </c>
    </row>
    <row r="106" spans="13:21" x14ac:dyDescent="0.3">
      <c r="M106" s="19">
        <v>103</v>
      </c>
      <c r="N106" s="76">
        <f t="shared" si="18"/>
        <v>47331</v>
      </c>
      <c r="O106" s="77">
        <f t="shared" si="22"/>
        <v>1830378.5932036431</v>
      </c>
      <c r="P106" s="77">
        <f t="shared" si="23"/>
        <v>217516.36383497916</v>
      </c>
      <c r="Q106" s="24">
        <f t="shared" si="19"/>
        <v>217516.36383497916</v>
      </c>
      <c r="R106" s="77">
        <f t="shared" si="24"/>
        <v>2047894.9570386223</v>
      </c>
      <c r="S106" s="19">
        <f t="shared" si="20"/>
        <v>2047894.9570386223</v>
      </c>
      <c r="T106" s="77">
        <f t="shared" si="21"/>
        <v>56173985.096124142</v>
      </c>
      <c r="U106" s="19">
        <f t="shared" si="25"/>
        <v>2047894.9570386223</v>
      </c>
    </row>
    <row r="107" spans="13:21" x14ac:dyDescent="0.3">
      <c r="M107" s="20">
        <v>104</v>
      </c>
      <c r="N107" s="76">
        <f t="shared" si="18"/>
        <v>47362</v>
      </c>
      <c r="O107" s="77">
        <f t="shared" si="22"/>
        <v>1837242.5129281569</v>
      </c>
      <c r="P107" s="77">
        <f t="shared" si="23"/>
        <v>210652.4441104655</v>
      </c>
      <c r="Q107" s="24">
        <f t="shared" si="19"/>
        <v>210652.4441104655</v>
      </c>
      <c r="R107" s="77">
        <f t="shared" si="24"/>
        <v>2047894.9570386223</v>
      </c>
      <c r="S107" s="19">
        <f t="shared" si="20"/>
        <v>2047894.9570386223</v>
      </c>
      <c r="T107" s="77">
        <f t="shared" si="21"/>
        <v>54336742.583195984</v>
      </c>
      <c r="U107" s="19">
        <f t="shared" si="25"/>
        <v>2047894.9570386223</v>
      </c>
    </row>
    <row r="108" spans="13:21" x14ac:dyDescent="0.3">
      <c r="M108" s="19">
        <v>105</v>
      </c>
      <c r="N108" s="76">
        <f t="shared" si="18"/>
        <v>47392</v>
      </c>
      <c r="O108" s="77">
        <f t="shared" si="22"/>
        <v>1844132.1723516374</v>
      </c>
      <c r="P108" s="77">
        <f t="shared" si="23"/>
        <v>203762.78468698493</v>
      </c>
      <c r="Q108" s="24">
        <f t="shared" si="19"/>
        <v>203762.78468698493</v>
      </c>
      <c r="R108" s="77">
        <f t="shared" si="24"/>
        <v>2047894.9570386223</v>
      </c>
      <c r="S108" s="19">
        <f t="shared" si="20"/>
        <v>2047894.9570386223</v>
      </c>
      <c r="T108" s="77">
        <f t="shared" si="21"/>
        <v>52492610.410844348</v>
      </c>
      <c r="U108" s="19">
        <f t="shared" si="25"/>
        <v>2047894.9570386223</v>
      </c>
    </row>
    <row r="109" spans="13:21" x14ac:dyDescent="0.3">
      <c r="M109" s="20">
        <v>106</v>
      </c>
      <c r="N109" s="76">
        <f t="shared" si="18"/>
        <v>47423</v>
      </c>
      <c r="O109" s="77">
        <f t="shared" si="22"/>
        <v>1851047.667997956</v>
      </c>
      <c r="P109" s="77">
        <f t="shared" si="23"/>
        <v>196847.28904066631</v>
      </c>
      <c r="Q109" s="24">
        <f t="shared" si="19"/>
        <v>196847.28904066631</v>
      </c>
      <c r="R109" s="77">
        <f t="shared" si="24"/>
        <v>2047894.9570386223</v>
      </c>
      <c r="S109" s="19">
        <f t="shared" si="20"/>
        <v>2047894.9570386223</v>
      </c>
      <c r="T109" s="77">
        <f t="shared" si="21"/>
        <v>50641562.742846392</v>
      </c>
      <c r="U109" s="19">
        <f t="shared" si="25"/>
        <v>2047894.9570386223</v>
      </c>
    </row>
    <row r="110" spans="13:21" x14ac:dyDescent="0.3">
      <c r="M110" s="19">
        <v>107</v>
      </c>
      <c r="N110" s="76">
        <f t="shared" si="18"/>
        <v>47453</v>
      </c>
      <c r="O110" s="77">
        <f t="shared" si="22"/>
        <v>1857989.0967529484</v>
      </c>
      <c r="P110" s="77">
        <f t="shared" si="23"/>
        <v>189905.86028567396</v>
      </c>
      <c r="Q110" s="24">
        <f t="shared" si="19"/>
        <v>189905.86028567396</v>
      </c>
      <c r="R110" s="77">
        <f t="shared" si="24"/>
        <v>2047894.9570386223</v>
      </c>
      <c r="S110" s="19">
        <f t="shared" si="20"/>
        <v>2047894.9570386223</v>
      </c>
      <c r="T110" s="77">
        <f t="shared" si="21"/>
        <v>48783573.646093443</v>
      </c>
      <c r="U110" s="19">
        <f t="shared" si="25"/>
        <v>2047894.9570386223</v>
      </c>
    </row>
    <row r="111" spans="13:21" x14ac:dyDescent="0.3">
      <c r="M111" s="20">
        <v>108</v>
      </c>
      <c r="N111" s="205">
        <f t="shared" si="18"/>
        <v>47484</v>
      </c>
      <c r="O111" s="206">
        <f t="shared" si="22"/>
        <v>1864956.5558657721</v>
      </c>
      <c r="P111" s="206">
        <f t="shared" si="23"/>
        <v>182938.4011728504</v>
      </c>
      <c r="Q111" s="207">
        <f t="shared" si="19"/>
        <v>182938.4011728504</v>
      </c>
      <c r="R111" s="206">
        <f t="shared" si="24"/>
        <v>2047894.9570386223</v>
      </c>
      <c r="S111" s="204">
        <f t="shared" si="20"/>
        <v>2047894.9570386223</v>
      </c>
      <c r="T111" s="206">
        <f t="shared" si="21"/>
        <v>46918617.090227671</v>
      </c>
      <c r="U111" s="204">
        <f t="shared" si="25"/>
        <v>2047894.9570386223</v>
      </c>
    </row>
    <row r="112" spans="13:21" x14ac:dyDescent="0.3">
      <c r="M112" s="19">
        <v>109</v>
      </c>
      <c r="N112" s="76">
        <f t="shared" si="18"/>
        <v>47515</v>
      </c>
      <c r="O112" s="77">
        <f t="shared" si="22"/>
        <v>1871950.1429502685</v>
      </c>
      <c r="P112" s="77">
        <f t="shared" si="23"/>
        <v>175944.81408835377</v>
      </c>
      <c r="Q112" s="24">
        <f t="shared" si="19"/>
        <v>175944.81408835377</v>
      </c>
      <c r="R112" s="77">
        <f t="shared" si="24"/>
        <v>2047894.9570386223</v>
      </c>
      <c r="S112" s="19">
        <f t="shared" si="20"/>
        <v>2047894.9570386223</v>
      </c>
      <c r="T112" s="77">
        <f t="shared" si="21"/>
        <v>45046666.947277404</v>
      </c>
      <c r="U112" s="19">
        <f t="shared" si="25"/>
        <v>2047894.9570386223</v>
      </c>
    </row>
    <row r="113" spans="13:21" x14ac:dyDescent="0.3">
      <c r="M113" s="20">
        <v>110</v>
      </c>
      <c r="N113" s="76">
        <f t="shared" si="18"/>
        <v>47543</v>
      </c>
      <c r="O113" s="77">
        <f t="shared" si="22"/>
        <v>1878969.9559863321</v>
      </c>
      <c r="P113" s="77">
        <f t="shared" si="23"/>
        <v>168925.00105229026</v>
      </c>
      <c r="Q113" s="24">
        <f t="shared" si="19"/>
        <v>168925.00105229026</v>
      </c>
      <c r="R113" s="77">
        <f t="shared" si="24"/>
        <v>2047894.9570386223</v>
      </c>
      <c r="S113" s="19">
        <f t="shared" si="20"/>
        <v>2047894.9570386223</v>
      </c>
      <c r="T113" s="77">
        <f t="shared" si="21"/>
        <v>43167696.991291076</v>
      </c>
      <c r="U113" s="19">
        <f t="shared" si="25"/>
        <v>2047894.9570386223</v>
      </c>
    </row>
    <row r="114" spans="13:21" x14ac:dyDescent="0.3">
      <c r="M114" s="19">
        <v>111</v>
      </c>
      <c r="N114" s="76">
        <f t="shared" si="18"/>
        <v>47574</v>
      </c>
      <c r="O114" s="77">
        <f t="shared" si="22"/>
        <v>1886016.0933212808</v>
      </c>
      <c r="P114" s="77">
        <f t="shared" si="23"/>
        <v>161878.86371734153</v>
      </c>
      <c r="Q114" s="24">
        <f t="shared" si="19"/>
        <v>161878.86371734153</v>
      </c>
      <c r="R114" s="77">
        <f t="shared" si="24"/>
        <v>2047894.9570386223</v>
      </c>
      <c r="S114" s="19">
        <f t="shared" si="20"/>
        <v>2047894.9570386223</v>
      </c>
      <c r="T114" s="77">
        <f t="shared" si="21"/>
        <v>41281680.897969797</v>
      </c>
      <c r="U114" s="19">
        <f t="shared" si="25"/>
        <v>2047894.9570386223</v>
      </c>
    </row>
    <row r="115" spans="13:21" x14ac:dyDescent="0.3">
      <c r="M115" s="20">
        <v>112</v>
      </c>
      <c r="N115" s="76">
        <f t="shared" si="18"/>
        <v>47604</v>
      </c>
      <c r="O115" s="77">
        <f t="shared" si="22"/>
        <v>1893088.6536712355</v>
      </c>
      <c r="P115" s="77">
        <f t="shared" si="23"/>
        <v>154806.30336738672</v>
      </c>
      <c r="Q115" s="24">
        <f t="shared" si="19"/>
        <v>154806.30336738672</v>
      </c>
      <c r="R115" s="77">
        <f t="shared" si="24"/>
        <v>2047894.9570386223</v>
      </c>
      <c r="S115" s="19">
        <f t="shared" si="20"/>
        <v>2047894.9570386223</v>
      </c>
      <c r="T115" s="77">
        <f t="shared" si="21"/>
        <v>39388592.244298562</v>
      </c>
      <c r="U115" s="19">
        <f t="shared" si="25"/>
        <v>2047894.9570386223</v>
      </c>
    </row>
    <row r="116" spans="13:21" x14ac:dyDescent="0.3">
      <c r="M116" s="19">
        <v>113</v>
      </c>
      <c r="N116" s="76">
        <f t="shared" si="18"/>
        <v>47635</v>
      </c>
      <c r="O116" s="77">
        <f t="shared" si="22"/>
        <v>1900187.7361225027</v>
      </c>
      <c r="P116" s="77">
        <f t="shared" si="23"/>
        <v>147707.22091611961</v>
      </c>
      <c r="Q116" s="24">
        <f t="shared" si="19"/>
        <v>147707.22091611961</v>
      </c>
      <c r="R116" s="77">
        <f t="shared" si="24"/>
        <v>2047894.9570386223</v>
      </c>
      <c r="S116" s="19">
        <f t="shared" si="20"/>
        <v>2047894.9570386223</v>
      </c>
      <c r="T116" s="77">
        <f t="shared" si="21"/>
        <v>37488404.508176059</v>
      </c>
      <c r="U116" s="19">
        <f t="shared" si="25"/>
        <v>2047894.9570386223</v>
      </c>
    </row>
    <row r="117" spans="13:21" x14ac:dyDescent="0.3">
      <c r="M117" s="20">
        <v>114</v>
      </c>
      <c r="N117" s="76">
        <f t="shared" si="18"/>
        <v>47665</v>
      </c>
      <c r="O117" s="77">
        <f t="shared" si="22"/>
        <v>1907313.4401329621</v>
      </c>
      <c r="P117" s="77">
        <f t="shared" si="23"/>
        <v>140581.51690566022</v>
      </c>
      <c r="Q117" s="24">
        <f t="shared" si="19"/>
        <v>140581.51690566022</v>
      </c>
      <c r="R117" s="77">
        <f t="shared" si="24"/>
        <v>2047894.9570386223</v>
      </c>
      <c r="S117" s="19">
        <f t="shared" si="20"/>
        <v>2047894.9570386223</v>
      </c>
      <c r="T117" s="77">
        <f t="shared" si="21"/>
        <v>35581091.068043098</v>
      </c>
      <c r="U117" s="19">
        <f t="shared" si="25"/>
        <v>2047894.9570386223</v>
      </c>
    </row>
    <row r="118" spans="13:21" x14ac:dyDescent="0.3">
      <c r="M118" s="19">
        <v>115</v>
      </c>
      <c r="N118" s="76">
        <f t="shared" si="18"/>
        <v>47696</v>
      </c>
      <c r="O118" s="77">
        <f t="shared" si="22"/>
        <v>1914465.8655334609</v>
      </c>
      <c r="P118" s="77">
        <f t="shared" si="23"/>
        <v>133429.0915051616</v>
      </c>
      <c r="Q118" s="24">
        <f t="shared" si="19"/>
        <v>133429.0915051616</v>
      </c>
      <c r="R118" s="77">
        <f t="shared" si="24"/>
        <v>2047894.9570386223</v>
      </c>
      <c r="S118" s="19">
        <f t="shared" si="20"/>
        <v>2047894.9570386223</v>
      </c>
      <c r="T118" s="77">
        <f t="shared" si="21"/>
        <v>33666625.202509634</v>
      </c>
      <c r="U118" s="19">
        <f t="shared" si="25"/>
        <v>2047894.9570386223</v>
      </c>
    </row>
    <row r="119" spans="13:21" x14ac:dyDescent="0.3">
      <c r="M119" s="20">
        <v>116</v>
      </c>
      <c r="N119" s="76">
        <f t="shared" si="18"/>
        <v>47727</v>
      </c>
      <c r="O119" s="77">
        <f t="shared" si="22"/>
        <v>1921645.1125292112</v>
      </c>
      <c r="P119" s="77">
        <f t="shared" si="23"/>
        <v>126249.84450941112</v>
      </c>
      <c r="Q119" s="24">
        <f t="shared" si="19"/>
        <v>126249.84450941112</v>
      </c>
      <c r="R119" s="77">
        <f t="shared" si="24"/>
        <v>2047894.9570386223</v>
      </c>
      <c r="S119" s="19">
        <f t="shared" si="20"/>
        <v>2047894.9570386223</v>
      </c>
      <c r="T119" s="77">
        <f t="shared" si="21"/>
        <v>31744980.089980423</v>
      </c>
      <c r="U119" s="19">
        <f t="shared" si="25"/>
        <v>2047894.9570386223</v>
      </c>
    </row>
    <row r="120" spans="13:21" x14ac:dyDescent="0.3">
      <c r="M120" s="19">
        <v>117</v>
      </c>
      <c r="N120" s="76">
        <f t="shared" si="18"/>
        <v>47757</v>
      </c>
      <c r="O120" s="77">
        <f t="shared" si="22"/>
        <v>1928851.2817011958</v>
      </c>
      <c r="P120" s="77">
        <f t="shared" si="23"/>
        <v>119043.67533742658</v>
      </c>
      <c r="Q120" s="24">
        <f t="shared" si="19"/>
        <v>119043.67533742658</v>
      </c>
      <c r="R120" s="77">
        <f t="shared" si="24"/>
        <v>2047894.9570386223</v>
      </c>
      <c r="S120" s="19">
        <f t="shared" si="20"/>
        <v>2047894.9570386223</v>
      </c>
      <c r="T120" s="77">
        <f t="shared" si="21"/>
        <v>29816128.808279227</v>
      </c>
      <c r="U120" s="19">
        <f t="shared" si="25"/>
        <v>2047894.9570386223</v>
      </c>
    </row>
    <row r="121" spans="13:21" x14ac:dyDescent="0.3">
      <c r="M121" s="20">
        <v>118</v>
      </c>
      <c r="N121" s="76">
        <f t="shared" si="18"/>
        <v>47788</v>
      </c>
      <c r="O121" s="77">
        <f t="shared" si="22"/>
        <v>1936084.4740075753</v>
      </c>
      <c r="P121" s="77">
        <f t="shared" si="23"/>
        <v>111810.4830310471</v>
      </c>
      <c r="Q121" s="24">
        <f t="shared" si="19"/>
        <v>111810.4830310471</v>
      </c>
      <c r="R121" s="77">
        <f t="shared" si="24"/>
        <v>2047894.9570386223</v>
      </c>
      <c r="S121" s="19">
        <f t="shared" si="20"/>
        <v>2047894.9570386223</v>
      </c>
      <c r="T121" s="77">
        <f t="shared" si="21"/>
        <v>27880044.334271651</v>
      </c>
      <c r="U121" s="19">
        <f t="shared" si="25"/>
        <v>2047894.9570386223</v>
      </c>
    </row>
    <row r="122" spans="13:21" x14ac:dyDescent="0.3">
      <c r="M122" s="19">
        <v>119</v>
      </c>
      <c r="N122" s="76">
        <f t="shared" si="18"/>
        <v>47818</v>
      </c>
      <c r="O122" s="77">
        <f t="shared" si="22"/>
        <v>1943344.7907851036</v>
      </c>
      <c r="P122" s="77">
        <f t="shared" si="23"/>
        <v>104550.16625351868</v>
      </c>
      <c r="Q122" s="24">
        <f t="shared" si="19"/>
        <v>104550.16625351868</v>
      </c>
      <c r="R122" s="77">
        <f t="shared" si="24"/>
        <v>2047894.9570386223</v>
      </c>
      <c r="S122" s="19">
        <f t="shared" si="20"/>
        <v>2047894.9570386223</v>
      </c>
      <c r="T122" s="77">
        <f t="shared" si="21"/>
        <v>25936699.543486547</v>
      </c>
      <c r="U122" s="19">
        <f t="shared" si="25"/>
        <v>2047894.9570386223</v>
      </c>
    </row>
    <row r="123" spans="13:21" x14ac:dyDescent="0.3">
      <c r="M123" s="20">
        <v>120</v>
      </c>
      <c r="N123" s="205">
        <f t="shared" si="18"/>
        <v>47849</v>
      </c>
      <c r="O123" s="206">
        <f t="shared" si="22"/>
        <v>1950632.3337505478</v>
      </c>
      <c r="P123" s="206">
        <f t="shared" si="23"/>
        <v>97262.623288074552</v>
      </c>
      <c r="Q123" s="207">
        <f t="shared" si="19"/>
        <v>97262.623288074552</v>
      </c>
      <c r="R123" s="206">
        <f t="shared" si="24"/>
        <v>2047894.9570386223</v>
      </c>
      <c r="S123" s="204">
        <f t="shared" si="20"/>
        <v>2047894.9570386223</v>
      </c>
      <c r="T123" s="206">
        <f t="shared" si="21"/>
        <v>23986067.209735997</v>
      </c>
      <c r="U123" s="204">
        <f t="shared" si="25"/>
        <v>2047894.9570386223</v>
      </c>
    </row>
    <row r="124" spans="13:21" x14ac:dyDescent="0.3">
      <c r="M124" s="19">
        <v>121</v>
      </c>
      <c r="N124" s="76">
        <f t="shared" si="18"/>
        <v>47880</v>
      </c>
      <c r="O124" s="77">
        <f t="shared" si="22"/>
        <v>1957947.2050021123</v>
      </c>
      <c r="P124" s="77">
        <f t="shared" si="23"/>
        <v>89947.752036509977</v>
      </c>
      <c r="Q124" s="24">
        <f t="shared" si="19"/>
        <v>89947.752036509977</v>
      </c>
      <c r="R124" s="77">
        <f t="shared" si="24"/>
        <v>2047894.9570386223</v>
      </c>
      <c r="S124" s="19">
        <f t="shared" si="20"/>
        <v>2047894.9570386223</v>
      </c>
      <c r="T124" s="77">
        <f t="shared" si="21"/>
        <v>22028120.004733883</v>
      </c>
      <c r="U124" s="19">
        <f t="shared" si="25"/>
        <v>2047894.9570386223</v>
      </c>
    </row>
    <row r="125" spans="13:21" x14ac:dyDescent="0.3">
      <c r="M125" s="20">
        <v>122</v>
      </c>
      <c r="N125" s="76">
        <f t="shared" si="18"/>
        <v>47908</v>
      </c>
      <c r="O125" s="77">
        <f t="shared" si="22"/>
        <v>1965289.5070208702</v>
      </c>
      <c r="P125" s="77">
        <f t="shared" si="23"/>
        <v>82605.450017752053</v>
      </c>
      <c r="Q125" s="24">
        <f t="shared" si="19"/>
        <v>82605.450017752053</v>
      </c>
      <c r="R125" s="77">
        <f t="shared" si="24"/>
        <v>2047894.9570386223</v>
      </c>
      <c r="S125" s="19">
        <f t="shared" si="20"/>
        <v>2047894.9570386223</v>
      </c>
      <c r="T125" s="77">
        <f t="shared" si="21"/>
        <v>20062830.497713014</v>
      </c>
      <c r="U125" s="19">
        <f t="shared" si="25"/>
        <v>2047894.9570386223</v>
      </c>
    </row>
    <row r="126" spans="13:21" x14ac:dyDescent="0.3">
      <c r="M126" s="19">
        <v>123</v>
      </c>
      <c r="N126" s="76">
        <f t="shared" si="18"/>
        <v>47939</v>
      </c>
      <c r="O126" s="77">
        <f t="shared" si="22"/>
        <v>1972659.3426721985</v>
      </c>
      <c r="P126" s="77">
        <f t="shared" si="23"/>
        <v>75235.614366423804</v>
      </c>
      <c r="Q126" s="24">
        <f t="shared" si="19"/>
        <v>75235.614366423804</v>
      </c>
      <c r="R126" s="77">
        <f t="shared" si="24"/>
        <v>2047894.9570386223</v>
      </c>
      <c r="S126" s="19">
        <f t="shared" si="20"/>
        <v>2047894.9570386223</v>
      </c>
      <c r="T126" s="77">
        <f t="shared" si="21"/>
        <v>18090171.155040815</v>
      </c>
      <c r="U126" s="19">
        <f t="shared" si="25"/>
        <v>2047894.9570386223</v>
      </c>
    </row>
    <row r="127" spans="13:21" x14ac:dyDescent="0.3">
      <c r="M127" s="20">
        <v>124</v>
      </c>
      <c r="N127" s="76">
        <f t="shared" si="18"/>
        <v>47969</v>
      </c>
      <c r="O127" s="77">
        <f t="shared" si="22"/>
        <v>1980056.8152072192</v>
      </c>
      <c r="P127" s="77">
        <f t="shared" si="23"/>
        <v>67838.14183140306</v>
      </c>
      <c r="Q127" s="24">
        <f t="shared" si="19"/>
        <v>67838.14183140306</v>
      </c>
      <c r="R127" s="77">
        <f t="shared" si="24"/>
        <v>2047894.9570386223</v>
      </c>
      <c r="S127" s="19">
        <f t="shared" si="20"/>
        <v>2047894.9570386223</v>
      </c>
      <c r="T127" s="77">
        <f t="shared" si="21"/>
        <v>16110114.339833597</v>
      </c>
      <c r="U127" s="19">
        <f t="shared" si="25"/>
        <v>2047894.9570386223</v>
      </c>
    </row>
    <row r="128" spans="13:21" x14ac:dyDescent="0.3">
      <c r="M128" s="19">
        <v>125</v>
      </c>
      <c r="N128" s="76">
        <f t="shared" si="18"/>
        <v>48000</v>
      </c>
      <c r="O128" s="77">
        <f t="shared" si="22"/>
        <v>1987482.0282642464</v>
      </c>
      <c r="P128" s="77">
        <f t="shared" si="23"/>
        <v>60412.928774375985</v>
      </c>
      <c r="Q128" s="24">
        <f t="shared" si="19"/>
        <v>60412.928774375985</v>
      </c>
      <c r="R128" s="77">
        <f t="shared" si="24"/>
        <v>2047894.9570386223</v>
      </c>
      <c r="S128" s="19">
        <f t="shared" si="20"/>
        <v>2047894.9570386223</v>
      </c>
      <c r="T128" s="77">
        <f t="shared" si="21"/>
        <v>14122632.31156935</v>
      </c>
      <c r="U128" s="19">
        <f t="shared" si="25"/>
        <v>2047894.9570386223</v>
      </c>
    </row>
    <row r="129" spans="13:21" x14ac:dyDescent="0.3">
      <c r="M129" s="20">
        <v>126</v>
      </c>
      <c r="N129" s="76">
        <f t="shared" si="18"/>
        <v>48030</v>
      </c>
      <c r="O129" s="77">
        <f t="shared" si="22"/>
        <v>1994935.0858702373</v>
      </c>
      <c r="P129" s="77">
        <f t="shared" si="23"/>
        <v>52959.871168385056</v>
      </c>
      <c r="Q129" s="24">
        <f t="shared" si="19"/>
        <v>52959.871168385056</v>
      </c>
      <c r="R129" s="77">
        <f t="shared" si="24"/>
        <v>2047894.9570386223</v>
      </c>
      <c r="S129" s="19">
        <f t="shared" si="20"/>
        <v>2047894.9570386223</v>
      </c>
      <c r="T129" s="77">
        <f t="shared" si="21"/>
        <v>12127697.225699112</v>
      </c>
      <c r="U129" s="19">
        <f t="shared" si="25"/>
        <v>2047894.9570386223</v>
      </c>
    </row>
    <row r="130" spans="13:21" x14ac:dyDescent="0.3">
      <c r="M130" s="19">
        <v>127</v>
      </c>
      <c r="N130" s="76">
        <f t="shared" si="18"/>
        <v>48061</v>
      </c>
      <c r="O130" s="77">
        <f t="shared" si="22"/>
        <v>2002416.0924422506</v>
      </c>
      <c r="P130" s="77">
        <f t="shared" si="23"/>
        <v>45478.864596371663</v>
      </c>
      <c r="Q130" s="24">
        <f t="shared" si="19"/>
        <v>45478.864596371663</v>
      </c>
      <c r="R130" s="77">
        <f t="shared" si="24"/>
        <v>2047894.9570386223</v>
      </c>
      <c r="S130" s="19">
        <f t="shared" si="20"/>
        <v>2047894.9570386223</v>
      </c>
      <c r="T130" s="77">
        <f t="shared" si="21"/>
        <v>10125281.133256862</v>
      </c>
      <c r="U130" s="19">
        <f t="shared" si="25"/>
        <v>2047894.9570386223</v>
      </c>
    </row>
    <row r="131" spans="13:21" x14ac:dyDescent="0.3">
      <c r="M131" s="20">
        <v>128</v>
      </c>
      <c r="N131" s="76">
        <f t="shared" si="18"/>
        <v>48092</v>
      </c>
      <c r="O131" s="77">
        <f t="shared" si="22"/>
        <v>2009925.1527889092</v>
      </c>
      <c r="P131" s="77">
        <f t="shared" si="23"/>
        <v>37969.804249713234</v>
      </c>
      <c r="Q131" s="24">
        <f t="shared" si="19"/>
        <v>37969.804249713234</v>
      </c>
      <c r="R131" s="77">
        <f t="shared" si="24"/>
        <v>2047894.9570386223</v>
      </c>
      <c r="S131" s="19">
        <f t="shared" si="20"/>
        <v>2047894.9570386223</v>
      </c>
      <c r="T131" s="77">
        <f t="shared" si="21"/>
        <v>8115355.9804679528</v>
      </c>
      <c r="U131" s="19">
        <f t="shared" si="25"/>
        <v>2047894.9570386223</v>
      </c>
    </row>
    <row r="132" spans="13:21" x14ac:dyDescent="0.3">
      <c r="M132" s="19">
        <v>129</v>
      </c>
      <c r="N132" s="76">
        <f t="shared" ref="N132:N195" si="26">EDATE($Z$13,M132)</f>
        <v>48122</v>
      </c>
      <c r="O132" s="77">
        <f t="shared" si="22"/>
        <v>2017462.3721118674</v>
      </c>
      <c r="P132" s="77">
        <f t="shared" si="23"/>
        <v>30432.584926754822</v>
      </c>
      <c r="Q132" s="24">
        <f t="shared" ref="Q132:Q195" si="27">IF(T132&gt;0,P132,IF(S132&gt;0,P132,0))</f>
        <v>30432.584926754822</v>
      </c>
      <c r="R132" s="77">
        <f t="shared" si="24"/>
        <v>2047894.9570386223</v>
      </c>
      <c r="S132" s="19">
        <f t="shared" si="20"/>
        <v>2047894.9570386223</v>
      </c>
      <c r="T132" s="77">
        <f t="shared" si="21"/>
        <v>6097893.6083560856</v>
      </c>
      <c r="U132" s="19">
        <f t="shared" si="25"/>
        <v>2047894.9570386223</v>
      </c>
    </row>
    <row r="133" spans="13:21" x14ac:dyDescent="0.3">
      <c r="M133" s="20">
        <v>130</v>
      </c>
      <c r="N133" s="76">
        <f t="shared" si="26"/>
        <v>48153</v>
      </c>
      <c r="O133" s="77">
        <f t="shared" si="22"/>
        <v>2025027.856007287</v>
      </c>
      <c r="P133" s="77">
        <f t="shared" si="23"/>
        <v>22867.101031335318</v>
      </c>
      <c r="Q133" s="24">
        <f t="shared" si="27"/>
        <v>22867.101031335318</v>
      </c>
      <c r="R133" s="77">
        <f t="shared" si="24"/>
        <v>2047894.9570386223</v>
      </c>
      <c r="S133" s="19">
        <f t="shared" ref="S133:S196" si="28">IF(M133&gt;$Z$12,0,(IF(M133&lt;=$W$17,0,$Z$14)))</f>
        <v>2047894.9570386223</v>
      </c>
      <c r="T133" s="77">
        <f t="shared" ref="T133:T196" si="29">T132-O133</f>
        <v>4072865.7523487983</v>
      </c>
      <c r="U133" s="19">
        <f t="shared" si="25"/>
        <v>2047894.9570386223</v>
      </c>
    </row>
    <row r="134" spans="13:21" x14ac:dyDescent="0.3">
      <c r="M134" s="19">
        <v>131</v>
      </c>
      <c r="N134" s="76">
        <f t="shared" si="26"/>
        <v>48183</v>
      </c>
      <c r="O134" s="77">
        <f t="shared" ref="O134:O197" si="30">IF(M134&lt;=$W$17,0,(IF(M134&lt;=$Z$12,S134-P134,0)))</f>
        <v>2032621.7104673143</v>
      </c>
      <c r="P134" s="77">
        <f t="shared" ref="P134:P197" si="31">T133*$W$15/12</f>
        <v>15273.246571307993</v>
      </c>
      <c r="Q134" s="24">
        <f t="shared" si="27"/>
        <v>15273.246571307993</v>
      </c>
      <c r="R134" s="77">
        <f t="shared" ref="R134:R197" si="32">IF(M134&gt;SUM($W$16:$W$17),0,SUM(O134,Q134))</f>
        <v>2047894.9570386223</v>
      </c>
      <c r="S134" s="19">
        <f t="shared" si="28"/>
        <v>2047894.9570386223</v>
      </c>
      <c r="T134" s="77">
        <f t="shared" si="29"/>
        <v>2040244.041881484</v>
      </c>
      <c r="U134" s="19">
        <f t="shared" ref="U134:U197" si="33">O134+Q134</f>
        <v>2047894.9570386223</v>
      </c>
    </row>
    <row r="135" spans="13:21" x14ac:dyDescent="0.3">
      <c r="M135" s="20">
        <v>132</v>
      </c>
      <c r="N135" s="76">
        <f t="shared" si="26"/>
        <v>48214</v>
      </c>
      <c r="O135" s="77">
        <f t="shared" si="30"/>
        <v>2040244.0418815669</v>
      </c>
      <c r="P135" s="77">
        <f t="shared" si="31"/>
        <v>7650.915157055565</v>
      </c>
      <c r="Q135" s="24">
        <f t="shared" si="27"/>
        <v>7650.915157055565</v>
      </c>
      <c r="R135" s="77">
        <f t="shared" si="32"/>
        <v>2047894.9570386223</v>
      </c>
      <c r="S135" s="19">
        <f t="shared" si="28"/>
        <v>2047894.9570386223</v>
      </c>
      <c r="T135" s="77">
        <f t="shared" si="29"/>
        <v>-8.2887709140777588E-8</v>
      </c>
      <c r="U135" s="19">
        <f t="shared" si="33"/>
        <v>2047894.9570386223</v>
      </c>
    </row>
    <row r="136" spans="13:21" x14ac:dyDescent="0.3">
      <c r="M136" s="19">
        <v>133</v>
      </c>
      <c r="N136" s="76">
        <f t="shared" si="26"/>
        <v>48245</v>
      </c>
      <c r="O136" s="77">
        <f t="shared" si="30"/>
        <v>0</v>
      </c>
      <c r="P136" s="77">
        <f t="shared" si="31"/>
        <v>-3.1082890927791595E-10</v>
      </c>
      <c r="Q136" s="24">
        <f t="shared" si="27"/>
        <v>0</v>
      </c>
      <c r="R136" s="77">
        <f t="shared" si="32"/>
        <v>0</v>
      </c>
      <c r="S136" s="19">
        <f t="shared" si="28"/>
        <v>0</v>
      </c>
      <c r="T136" s="77">
        <f t="shared" si="29"/>
        <v>-8.2887709140777588E-8</v>
      </c>
      <c r="U136" s="19">
        <f t="shared" si="33"/>
        <v>0</v>
      </c>
    </row>
    <row r="137" spans="13:21" x14ac:dyDescent="0.3">
      <c r="M137" s="20">
        <v>134</v>
      </c>
      <c r="N137" s="76">
        <f t="shared" si="26"/>
        <v>48274</v>
      </c>
      <c r="O137" s="77">
        <f t="shared" si="30"/>
        <v>0</v>
      </c>
      <c r="P137" s="77">
        <f t="shared" si="31"/>
        <v>-3.1082890927791595E-10</v>
      </c>
      <c r="Q137" s="24">
        <f t="shared" si="27"/>
        <v>0</v>
      </c>
      <c r="R137" s="77">
        <f t="shared" si="32"/>
        <v>0</v>
      </c>
      <c r="S137" s="19">
        <f t="shared" si="28"/>
        <v>0</v>
      </c>
      <c r="T137" s="77">
        <f t="shared" si="29"/>
        <v>-8.2887709140777588E-8</v>
      </c>
      <c r="U137" s="19">
        <f t="shared" si="33"/>
        <v>0</v>
      </c>
    </row>
    <row r="138" spans="13:21" x14ac:dyDescent="0.3">
      <c r="M138" s="19">
        <v>135</v>
      </c>
      <c r="N138" s="76">
        <f t="shared" si="26"/>
        <v>48305</v>
      </c>
      <c r="O138" s="77">
        <f t="shared" si="30"/>
        <v>0</v>
      </c>
      <c r="P138" s="77">
        <f t="shared" si="31"/>
        <v>-3.1082890927791595E-10</v>
      </c>
      <c r="Q138" s="24">
        <f t="shared" si="27"/>
        <v>0</v>
      </c>
      <c r="R138" s="77">
        <f t="shared" si="32"/>
        <v>0</v>
      </c>
      <c r="S138" s="19">
        <f t="shared" si="28"/>
        <v>0</v>
      </c>
      <c r="T138" s="77">
        <f t="shared" si="29"/>
        <v>-8.2887709140777588E-8</v>
      </c>
      <c r="U138" s="19">
        <f t="shared" si="33"/>
        <v>0</v>
      </c>
    </row>
    <row r="139" spans="13:21" x14ac:dyDescent="0.3">
      <c r="M139" s="20">
        <v>136</v>
      </c>
      <c r="N139" s="76">
        <f t="shared" si="26"/>
        <v>48335</v>
      </c>
      <c r="O139" s="77">
        <f t="shared" si="30"/>
        <v>0</v>
      </c>
      <c r="P139" s="77">
        <f t="shared" si="31"/>
        <v>-3.1082890927791595E-10</v>
      </c>
      <c r="Q139" s="24">
        <f t="shared" si="27"/>
        <v>0</v>
      </c>
      <c r="R139" s="77">
        <f t="shared" si="32"/>
        <v>0</v>
      </c>
      <c r="S139" s="19">
        <f t="shared" si="28"/>
        <v>0</v>
      </c>
      <c r="T139" s="77">
        <f t="shared" si="29"/>
        <v>-8.2887709140777588E-8</v>
      </c>
      <c r="U139" s="19">
        <f t="shared" si="33"/>
        <v>0</v>
      </c>
    </row>
    <row r="140" spans="13:21" x14ac:dyDescent="0.3">
      <c r="M140" s="19">
        <v>137</v>
      </c>
      <c r="N140" s="76">
        <f t="shared" si="26"/>
        <v>48366</v>
      </c>
      <c r="O140" s="77">
        <f t="shared" si="30"/>
        <v>0</v>
      </c>
      <c r="P140" s="77">
        <f t="shared" si="31"/>
        <v>-3.1082890927791595E-10</v>
      </c>
      <c r="Q140" s="24">
        <f t="shared" si="27"/>
        <v>0</v>
      </c>
      <c r="R140" s="77">
        <f t="shared" si="32"/>
        <v>0</v>
      </c>
      <c r="S140" s="19">
        <f t="shared" si="28"/>
        <v>0</v>
      </c>
      <c r="T140" s="77">
        <f t="shared" si="29"/>
        <v>-8.2887709140777588E-8</v>
      </c>
      <c r="U140" s="19">
        <f t="shared" si="33"/>
        <v>0</v>
      </c>
    </row>
    <row r="141" spans="13:21" x14ac:dyDescent="0.3">
      <c r="M141" s="20">
        <v>138</v>
      </c>
      <c r="N141" s="76">
        <f t="shared" si="26"/>
        <v>48396</v>
      </c>
      <c r="O141" s="77">
        <f t="shared" si="30"/>
        <v>0</v>
      </c>
      <c r="P141" s="77">
        <f t="shared" si="31"/>
        <v>-3.1082890927791595E-10</v>
      </c>
      <c r="Q141" s="24">
        <f t="shared" si="27"/>
        <v>0</v>
      </c>
      <c r="R141" s="77">
        <f t="shared" si="32"/>
        <v>0</v>
      </c>
      <c r="S141" s="19">
        <f t="shared" si="28"/>
        <v>0</v>
      </c>
      <c r="T141" s="77">
        <f t="shared" si="29"/>
        <v>-8.2887709140777588E-8</v>
      </c>
      <c r="U141" s="19">
        <f t="shared" si="33"/>
        <v>0</v>
      </c>
    </row>
    <row r="142" spans="13:21" x14ac:dyDescent="0.3">
      <c r="M142" s="19">
        <v>139</v>
      </c>
      <c r="N142" s="76">
        <f t="shared" si="26"/>
        <v>48427</v>
      </c>
      <c r="O142" s="77">
        <f t="shared" si="30"/>
        <v>0</v>
      </c>
      <c r="P142" s="77">
        <f t="shared" si="31"/>
        <v>-3.1082890927791595E-10</v>
      </c>
      <c r="Q142" s="24">
        <f t="shared" si="27"/>
        <v>0</v>
      </c>
      <c r="R142" s="77">
        <f t="shared" si="32"/>
        <v>0</v>
      </c>
      <c r="S142" s="19">
        <f t="shared" si="28"/>
        <v>0</v>
      </c>
      <c r="T142" s="77">
        <f t="shared" si="29"/>
        <v>-8.2887709140777588E-8</v>
      </c>
      <c r="U142" s="19">
        <f t="shared" si="33"/>
        <v>0</v>
      </c>
    </row>
    <row r="143" spans="13:21" x14ac:dyDescent="0.3">
      <c r="M143" s="20">
        <v>140</v>
      </c>
      <c r="N143" s="76">
        <f t="shared" si="26"/>
        <v>48458</v>
      </c>
      <c r="O143" s="77">
        <f t="shared" si="30"/>
        <v>0</v>
      </c>
      <c r="P143" s="77">
        <f t="shared" si="31"/>
        <v>-3.1082890927791595E-10</v>
      </c>
      <c r="Q143" s="24">
        <f t="shared" si="27"/>
        <v>0</v>
      </c>
      <c r="R143" s="77">
        <f t="shared" si="32"/>
        <v>0</v>
      </c>
      <c r="S143" s="19">
        <f t="shared" si="28"/>
        <v>0</v>
      </c>
      <c r="T143" s="77">
        <f t="shared" si="29"/>
        <v>-8.2887709140777588E-8</v>
      </c>
      <c r="U143" s="19">
        <f t="shared" si="33"/>
        <v>0</v>
      </c>
    </row>
    <row r="144" spans="13:21" x14ac:dyDescent="0.3">
      <c r="M144" s="19">
        <v>141</v>
      </c>
      <c r="N144" s="76">
        <f t="shared" si="26"/>
        <v>48488</v>
      </c>
      <c r="O144" s="77">
        <f t="shared" si="30"/>
        <v>0</v>
      </c>
      <c r="P144" s="77">
        <f t="shared" si="31"/>
        <v>-3.1082890927791595E-10</v>
      </c>
      <c r="Q144" s="24">
        <f t="shared" si="27"/>
        <v>0</v>
      </c>
      <c r="R144" s="77">
        <f t="shared" si="32"/>
        <v>0</v>
      </c>
      <c r="S144" s="19">
        <f t="shared" si="28"/>
        <v>0</v>
      </c>
      <c r="T144" s="77">
        <f t="shared" si="29"/>
        <v>-8.2887709140777588E-8</v>
      </c>
      <c r="U144" s="19">
        <f t="shared" si="33"/>
        <v>0</v>
      </c>
    </row>
    <row r="145" spans="13:21" x14ac:dyDescent="0.3">
      <c r="M145" s="20">
        <v>142</v>
      </c>
      <c r="N145" s="76">
        <f t="shared" si="26"/>
        <v>48519</v>
      </c>
      <c r="O145" s="77">
        <f t="shared" si="30"/>
        <v>0</v>
      </c>
      <c r="P145" s="77">
        <f t="shared" si="31"/>
        <v>-3.1082890927791595E-10</v>
      </c>
      <c r="Q145" s="24">
        <f t="shared" si="27"/>
        <v>0</v>
      </c>
      <c r="R145" s="77">
        <f t="shared" si="32"/>
        <v>0</v>
      </c>
      <c r="S145" s="19">
        <f t="shared" si="28"/>
        <v>0</v>
      </c>
      <c r="T145" s="77">
        <f t="shared" si="29"/>
        <v>-8.2887709140777588E-8</v>
      </c>
      <c r="U145" s="19">
        <f t="shared" si="33"/>
        <v>0</v>
      </c>
    </row>
    <row r="146" spans="13:21" x14ac:dyDescent="0.3">
      <c r="M146" s="19">
        <v>143</v>
      </c>
      <c r="N146" s="76">
        <f t="shared" si="26"/>
        <v>48549</v>
      </c>
      <c r="O146" s="77">
        <f t="shared" si="30"/>
        <v>0</v>
      </c>
      <c r="P146" s="77">
        <f t="shared" si="31"/>
        <v>-3.1082890927791595E-10</v>
      </c>
      <c r="Q146" s="24">
        <f t="shared" si="27"/>
        <v>0</v>
      </c>
      <c r="R146" s="77">
        <f t="shared" si="32"/>
        <v>0</v>
      </c>
      <c r="S146" s="19">
        <f t="shared" si="28"/>
        <v>0</v>
      </c>
      <c r="T146" s="77">
        <f t="shared" si="29"/>
        <v>-8.2887709140777588E-8</v>
      </c>
      <c r="U146" s="19">
        <f t="shared" si="33"/>
        <v>0</v>
      </c>
    </row>
    <row r="147" spans="13:21" x14ac:dyDescent="0.3">
      <c r="M147" s="20">
        <v>144</v>
      </c>
      <c r="N147" s="76">
        <f t="shared" si="26"/>
        <v>48580</v>
      </c>
      <c r="O147" s="77">
        <f t="shared" si="30"/>
        <v>0</v>
      </c>
      <c r="P147" s="77">
        <f t="shared" si="31"/>
        <v>-3.1082890927791595E-10</v>
      </c>
      <c r="Q147" s="24">
        <f t="shared" si="27"/>
        <v>0</v>
      </c>
      <c r="R147" s="77">
        <f t="shared" si="32"/>
        <v>0</v>
      </c>
      <c r="S147" s="19">
        <f t="shared" si="28"/>
        <v>0</v>
      </c>
      <c r="T147" s="77">
        <f t="shared" si="29"/>
        <v>-8.2887709140777588E-8</v>
      </c>
      <c r="U147" s="19">
        <f t="shared" si="33"/>
        <v>0</v>
      </c>
    </row>
    <row r="148" spans="13:21" x14ac:dyDescent="0.3">
      <c r="M148" s="19">
        <v>145</v>
      </c>
      <c r="N148" s="76">
        <f t="shared" si="26"/>
        <v>48611</v>
      </c>
      <c r="O148" s="77">
        <f t="shared" si="30"/>
        <v>0</v>
      </c>
      <c r="P148" s="77">
        <f t="shared" si="31"/>
        <v>-3.1082890927791595E-10</v>
      </c>
      <c r="Q148" s="24">
        <f t="shared" si="27"/>
        <v>0</v>
      </c>
      <c r="R148" s="77">
        <f t="shared" si="32"/>
        <v>0</v>
      </c>
      <c r="S148" s="19">
        <f t="shared" si="28"/>
        <v>0</v>
      </c>
      <c r="T148" s="77">
        <f t="shared" si="29"/>
        <v>-8.2887709140777588E-8</v>
      </c>
      <c r="U148" s="19">
        <f t="shared" si="33"/>
        <v>0</v>
      </c>
    </row>
    <row r="149" spans="13:21" x14ac:dyDescent="0.3">
      <c r="M149" s="20">
        <v>146</v>
      </c>
      <c r="N149" s="76">
        <f t="shared" si="26"/>
        <v>48639</v>
      </c>
      <c r="O149" s="77">
        <f t="shared" si="30"/>
        <v>0</v>
      </c>
      <c r="P149" s="77">
        <f t="shared" si="31"/>
        <v>-3.1082890927791595E-10</v>
      </c>
      <c r="Q149" s="24">
        <f t="shared" si="27"/>
        <v>0</v>
      </c>
      <c r="R149" s="77">
        <f t="shared" si="32"/>
        <v>0</v>
      </c>
      <c r="S149" s="19">
        <f t="shared" si="28"/>
        <v>0</v>
      </c>
      <c r="T149" s="77">
        <f t="shared" si="29"/>
        <v>-8.2887709140777588E-8</v>
      </c>
      <c r="U149" s="19">
        <f t="shared" si="33"/>
        <v>0</v>
      </c>
    </row>
    <row r="150" spans="13:21" x14ac:dyDescent="0.3">
      <c r="M150" s="19">
        <v>147</v>
      </c>
      <c r="N150" s="76">
        <f t="shared" si="26"/>
        <v>48670</v>
      </c>
      <c r="O150" s="77">
        <f t="shared" si="30"/>
        <v>0</v>
      </c>
      <c r="P150" s="77">
        <f t="shared" si="31"/>
        <v>-3.1082890927791595E-10</v>
      </c>
      <c r="Q150" s="24">
        <f t="shared" si="27"/>
        <v>0</v>
      </c>
      <c r="R150" s="77">
        <f t="shared" si="32"/>
        <v>0</v>
      </c>
      <c r="S150" s="19">
        <f t="shared" si="28"/>
        <v>0</v>
      </c>
      <c r="T150" s="77">
        <f t="shared" si="29"/>
        <v>-8.2887709140777588E-8</v>
      </c>
      <c r="U150" s="19">
        <f t="shared" si="33"/>
        <v>0</v>
      </c>
    </row>
    <row r="151" spans="13:21" x14ac:dyDescent="0.3">
      <c r="M151" s="20">
        <v>148</v>
      </c>
      <c r="N151" s="76">
        <f t="shared" si="26"/>
        <v>48700</v>
      </c>
      <c r="O151" s="77">
        <f t="shared" si="30"/>
        <v>0</v>
      </c>
      <c r="P151" s="77">
        <f t="shared" si="31"/>
        <v>-3.1082890927791595E-10</v>
      </c>
      <c r="Q151" s="24">
        <f t="shared" si="27"/>
        <v>0</v>
      </c>
      <c r="R151" s="77">
        <f t="shared" si="32"/>
        <v>0</v>
      </c>
      <c r="S151" s="19">
        <f t="shared" si="28"/>
        <v>0</v>
      </c>
      <c r="T151" s="77">
        <f t="shared" si="29"/>
        <v>-8.2887709140777588E-8</v>
      </c>
      <c r="U151" s="19">
        <f t="shared" si="33"/>
        <v>0</v>
      </c>
    </row>
    <row r="152" spans="13:21" x14ac:dyDescent="0.3">
      <c r="M152" s="19">
        <v>149</v>
      </c>
      <c r="N152" s="76">
        <f t="shared" si="26"/>
        <v>48731</v>
      </c>
      <c r="O152" s="77">
        <f t="shared" si="30"/>
        <v>0</v>
      </c>
      <c r="P152" s="77">
        <f t="shared" si="31"/>
        <v>-3.1082890927791595E-10</v>
      </c>
      <c r="Q152" s="24">
        <f t="shared" si="27"/>
        <v>0</v>
      </c>
      <c r="R152" s="77">
        <f t="shared" si="32"/>
        <v>0</v>
      </c>
      <c r="S152" s="19">
        <f t="shared" si="28"/>
        <v>0</v>
      </c>
      <c r="T152" s="77">
        <f t="shared" si="29"/>
        <v>-8.2887709140777588E-8</v>
      </c>
      <c r="U152" s="19">
        <f t="shared" si="33"/>
        <v>0</v>
      </c>
    </row>
    <row r="153" spans="13:21" x14ac:dyDescent="0.3">
      <c r="M153" s="20">
        <v>150</v>
      </c>
      <c r="N153" s="76">
        <f t="shared" si="26"/>
        <v>48761</v>
      </c>
      <c r="O153" s="77">
        <f t="shared" si="30"/>
        <v>0</v>
      </c>
      <c r="P153" s="77">
        <f t="shared" si="31"/>
        <v>-3.1082890927791595E-10</v>
      </c>
      <c r="Q153" s="24">
        <f t="shared" si="27"/>
        <v>0</v>
      </c>
      <c r="R153" s="77">
        <f t="shared" si="32"/>
        <v>0</v>
      </c>
      <c r="S153" s="19">
        <f t="shared" si="28"/>
        <v>0</v>
      </c>
      <c r="T153" s="77">
        <f t="shared" si="29"/>
        <v>-8.2887709140777588E-8</v>
      </c>
      <c r="U153" s="19">
        <f t="shared" si="33"/>
        <v>0</v>
      </c>
    </row>
    <row r="154" spans="13:21" x14ac:dyDescent="0.3">
      <c r="M154" s="19">
        <v>151</v>
      </c>
      <c r="N154" s="76">
        <f t="shared" si="26"/>
        <v>48792</v>
      </c>
      <c r="O154" s="77">
        <f t="shared" si="30"/>
        <v>0</v>
      </c>
      <c r="P154" s="77">
        <f t="shared" si="31"/>
        <v>-3.1082890927791595E-10</v>
      </c>
      <c r="Q154" s="24">
        <f t="shared" si="27"/>
        <v>0</v>
      </c>
      <c r="R154" s="77">
        <f t="shared" si="32"/>
        <v>0</v>
      </c>
      <c r="S154" s="19">
        <f t="shared" si="28"/>
        <v>0</v>
      </c>
      <c r="T154" s="77">
        <f t="shared" si="29"/>
        <v>-8.2887709140777588E-8</v>
      </c>
      <c r="U154" s="19">
        <f t="shared" si="33"/>
        <v>0</v>
      </c>
    </row>
    <row r="155" spans="13:21" x14ac:dyDescent="0.3">
      <c r="M155" s="20">
        <v>152</v>
      </c>
      <c r="N155" s="76">
        <f t="shared" si="26"/>
        <v>48823</v>
      </c>
      <c r="O155" s="77">
        <f t="shared" si="30"/>
        <v>0</v>
      </c>
      <c r="P155" s="77">
        <f t="shared" si="31"/>
        <v>-3.1082890927791595E-10</v>
      </c>
      <c r="Q155" s="24">
        <f t="shared" si="27"/>
        <v>0</v>
      </c>
      <c r="R155" s="77">
        <f t="shared" si="32"/>
        <v>0</v>
      </c>
      <c r="S155" s="19">
        <f t="shared" si="28"/>
        <v>0</v>
      </c>
      <c r="T155" s="77">
        <f t="shared" si="29"/>
        <v>-8.2887709140777588E-8</v>
      </c>
      <c r="U155" s="19">
        <f t="shared" si="33"/>
        <v>0</v>
      </c>
    </row>
    <row r="156" spans="13:21" x14ac:dyDescent="0.3">
      <c r="M156" s="19">
        <v>153</v>
      </c>
      <c r="N156" s="76">
        <f t="shared" si="26"/>
        <v>48853</v>
      </c>
      <c r="O156" s="77">
        <f t="shared" si="30"/>
        <v>0</v>
      </c>
      <c r="P156" s="77">
        <f t="shared" si="31"/>
        <v>-3.1082890927791595E-10</v>
      </c>
      <c r="Q156" s="24">
        <f t="shared" si="27"/>
        <v>0</v>
      </c>
      <c r="R156" s="77">
        <f t="shared" si="32"/>
        <v>0</v>
      </c>
      <c r="S156" s="19">
        <f t="shared" si="28"/>
        <v>0</v>
      </c>
      <c r="T156" s="77">
        <f t="shared" si="29"/>
        <v>-8.2887709140777588E-8</v>
      </c>
      <c r="U156" s="19">
        <f t="shared" si="33"/>
        <v>0</v>
      </c>
    </row>
    <row r="157" spans="13:21" x14ac:dyDescent="0.3">
      <c r="M157" s="20">
        <v>154</v>
      </c>
      <c r="N157" s="76">
        <f t="shared" si="26"/>
        <v>48884</v>
      </c>
      <c r="O157" s="77">
        <f t="shared" si="30"/>
        <v>0</v>
      </c>
      <c r="P157" s="77">
        <f t="shared" si="31"/>
        <v>-3.1082890927791595E-10</v>
      </c>
      <c r="Q157" s="24">
        <f t="shared" si="27"/>
        <v>0</v>
      </c>
      <c r="R157" s="77">
        <f t="shared" si="32"/>
        <v>0</v>
      </c>
      <c r="S157" s="19">
        <f t="shared" si="28"/>
        <v>0</v>
      </c>
      <c r="T157" s="77">
        <f t="shared" si="29"/>
        <v>-8.2887709140777588E-8</v>
      </c>
      <c r="U157" s="19">
        <f t="shared" si="33"/>
        <v>0</v>
      </c>
    </row>
    <row r="158" spans="13:21" x14ac:dyDescent="0.3">
      <c r="M158" s="19">
        <v>155</v>
      </c>
      <c r="N158" s="76">
        <f t="shared" si="26"/>
        <v>48914</v>
      </c>
      <c r="O158" s="77">
        <f t="shared" si="30"/>
        <v>0</v>
      </c>
      <c r="P158" s="77">
        <f t="shared" si="31"/>
        <v>-3.1082890927791595E-10</v>
      </c>
      <c r="Q158" s="24">
        <f t="shared" si="27"/>
        <v>0</v>
      </c>
      <c r="R158" s="77">
        <f t="shared" si="32"/>
        <v>0</v>
      </c>
      <c r="S158" s="19">
        <f t="shared" si="28"/>
        <v>0</v>
      </c>
      <c r="T158" s="77">
        <f t="shared" si="29"/>
        <v>-8.2887709140777588E-8</v>
      </c>
      <c r="U158" s="19">
        <f t="shared" si="33"/>
        <v>0</v>
      </c>
    </row>
    <row r="159" spans="13:21" x14ac:dyDescent="0.3">
      <c r="M159" s="20">
        <v>156</v>
      </c>
      <c r="N159" s="76">
        <f t="shared" si="26"/>
        <v>48945</v>
      </c>
      <c r="O159" s="77">
        <f t="shared" si="30"/>
        <v>0</v>
      </c>
      <c r="P159" s="77">
        <f t="shared" si="31"/>
        <v>-3.1082890927791595E-10</v>
      </c>
      <c r="Q159" s="24">
        <f t="shared" si="27"/>
        <v>0</v>
      </c>
      <c r="R159" s="77">
        <f t="shared" si="32"/>
        <v>0</v>
      </c>
      <c r="S159" s="19">
        <f t="shared" si="28"/>
        <v>0</v>
      </c>
      <c r="T159" s="77">
        <f t="shared" si="29"/>
        <v>-8.2887709140777588E-8</v>
      </c>
      <c r="U159" s="19">
        <f t="shared" si="33"/>
        <v>0</v>
      </c>
    </row>
    <row r="160" spans="13:21" x14ac:dyDescent="0.3">
      <c r="M160" s="19">
        <v>157</v>
      </c>
      <c r="N160" s="76">
        <f t="shared" si="26"/>
        <v>48976</v>
      </c>
      <c r="O160" s="77">
        <f t="shared" si="30"/>
        <v>0</v>
      </c>
      <c r="P160" s="77">
        <f t="shared" si="31"/>
        <v>-3.1082890927791595E-10</v>
      </c>
      <c r="Q160" s="24">
        <f t="shared" si="27"/>
        <v>0</v>
      </c>
      <c r="R160" s="77">
        <f t="shared" si="32"/>
        <v>0</v>
      </c>
      <c r="S160" s="19">
        <f t="shared" si="28"/>
        <v>0</v>
      </c>
      <c r="T160" s="77">
        <f t="shared" si="29"/>
        <v>-8.2887709140777588E-8</v>
      </c>
      <c r="U160" s="19">
        <f t="shared" si="33"/>
        <v>0</v>
      </c>
    </row>
    <row r="161" spans="13:21" x14ac:dyDescent="0.3">
      <c r="M161" s="20">
        <v>158</v>
      </c>
      <c r="N161" s="76">
        <f t="shared" si="26"/>
        <v>49004</v>
      </c>
      <c r="O161" s="77">
        <f t="shared" si="30"/>
        <v>0</v>
      </c>
      <c r="P161" s="77">
        <f t="shared" si="31"/>
        <v>-3.1082890927791595E-10</v>
      </c>
      <c r="Q161" s="24">
        <f t="shared" si="27"/>
        <v>0</v>
      </c>
      <c r="R161" s="77">
        <f t="shared" si="32"/>
        <v>0</v>
      </c>
      <c r="S161" s="19">
        <f t="shared" si="28"/>
        <v>0</v>
      </c>
      <c r="T161" s="77">
        <f t="shared" si="29"/>
        <v>-8.2887709140777588E-8</v>
      </c>
      <c r="U161" s="19">
        <f t="shared" si="33"/>
        <v>0</v>
      </c>
    </row>
    <row r="162" spans="13:21" x14ac:dyDescent="0.3">
      <c r="M162" s="19">
        <v>159</v>
      </c>
      <c r="N162" s="76">
        <f t="shared" si="26"/>
        <v>49035</v>
      </c>
      <c r="O162" s="77">
        <f t="shared" si="30"/>
        <v>0</v>
      </c>
      <c r="P162" s="77">
        <f t="shared" si="31"/>
        <v>-3.1082890927791595E-10</v>
      </c>
      <c r="Q162" s="24">
        <f t="shared" si="27"/>
        <v>0</v>
      </c>
      <c r="R162" s="77">
        <f t="shared" si="32"/>
        <v>0</v>
      </c>
      <c r="S162" s="19">
        <f t="shared" si="28"/>
        <v>0</v>
      </c>
      <c r="T162" s="77">
        <f t="shared" si="29"/>
        <v>-8.2887709140777588E-8</v>
      </c>
      <c r="U162" s="19">
        <f t="shared" si="33"/>
        <v>0</v>
      </c>
    </row>
    <row r="163" spans="13:21" x14ac:dyDescent="0.3">
      <c r="M163" s="20">
        <v>160</v>
      </c>
      <c r="N163" s="76">
        <f t="shared" si="26"/>
        <v>49065</v>
      </c>
      <c r="O163" s="77">
        <f t="shared" si="30"/>
        <v>0</v>
      </c>
      <c r="P163" s="77">
        <f t="shared" si="31"/>
        <v>-3.1082890927791595E-10</v>
      </c>
      <c r="Q163" s="24">
        <f t="shared" si="27"/>
        <v>0</v>
      </c>
      <c r="R163" s="77">
        <f t="shared" si="32"/>
        <v>0</v>
      </c>
      <c r="S163" s="19">
        <f t="shared" si="28"/>
        <v>0</v>
      </c>
      <c r="T163" s="77">
        <f t="shared" si="29"/>
        <v>-8.2887709140777588E-8</v>
      </c>
      <c r="U163" s="19">
        <f t="shared" si="33"/>
        <v>0</v>
      </c>
    </row>
    <row r="164" spans="13:21" x14ac:dyDescent="0.3">
      <c r="M164" s="19">
        <v>161</v>
      </c>
      <c r="N164" s="76">
        <f t="shared" si="26"/>
        <v>49096</v>
      </c>
      <c r="O164" s="77">
        <f t="shared" si="30"/>
        <v>0</v>
      </c>
      <c r="P164" s="77">
        <f t="shared" si="31"/>
        <v>-3.1082890927791595E-10</v>
      </c>
      <c r="Q164" s="24">
        <f t="shared" si="27"/>
        <v>0</v>
      </c>
      <c r="R164" s="77">
        <f t="shared" si="32"/>
        <v>0</v>
      </c>
      <c r="S164" s="19">
        <f t="shared" si="28"/>
        <v>0</v>
      </c>
      <c r="T164" s="77">
        <f t="shared" si="29"/>
        <v>-8.2887709140777588E-8</v>
      </c>
      <c r="U164" s="19">
        <f t="shared" si="33"/>
        <v>0</v>
      </c>
    </row>
    <row r="165" spans="13:21" x14ac:dyDescent="0.3">
      <c r="M165" s="20">
        <v>162</v>
      </c>
      <c r="N165" s="76">
        <f t="shared" si="26"/>
        <v>49126</v>
      </c>
      <c r="O165" s="77">
        <f t="shared" si="30"/>
        <v>0</v>
      </c>
      <c r="P165" s="77">
        <f t="shared" si="31"/>
        <v>-3.1082890927791595E-10</v>
      </c>
      <c r="Q165" s="24">
        <f t="shared" si="27"/>
        <v>0</v>
      </c>
      <c r="R165" s="77">
        <f t="shared" si="32"/>
        <v>0</v>
      </c>
      <c r="S165" s="19">
        <f t="shared" si="28"/>
        <v>0</v>
      </c>
      <c r="T165" s="77">
        <f t="shared" si="29"/>
        <v>-8.2887709140777588E-8</v>
      </c>
      <c r="U165" s="19">
        <f t="shared" si="33"/>
        <v>0</v>
      </c>
    </row>
    <row r="166" spans="13:21" x14ac:dyDescent="0.3">
      <c r="M166" s="19">
        <v>163</v>
      </c>
      <c r="N166" s="76">
        <f t="shared" si="26"/>
        <v>49157</v>
      </c>
      <c r="O166" s="77">
        <f t="shared" si="30"/>
        <v>0</v>
      </c>
      <c r="P166" s="77">
        <f t="shared" si="31"/>
        <v>-3.1082890927791595E-10</v>
      </c>
      <c r="Q166" s="24">
        <f t="shared" si="27"/>
        <v>0</v>
      </c>
      <c r="R166" s="77">
        <f t="shared" si="32"/>
        <v>0</v>
      </c>
      <c r="S166" s="19">
        <f t="shared" si="28"/>
        <v>0</v>
      </c>
      <c r="T166" s="77">
        <f t="shared" si="29"/>
        <v>-8.2887709140777588E-8</v>
      </c>
      <c r="U166" s="19">
        <f t="shared" si="33"/>
        <v>0</v>
      </c>
    </row>
    <row r="167" spans="13:21" x14ac:dyDescent="0.3">
      <c r="M167" s="20">
        <v>164</v>
      </c>
      <c r="N167" s="76">
        <f t="shared" si="26"/>
        <v>49188</v>
      </c>
      <c r="O167" s="77">
        <f t="shared" si="30"/>
        <v>0</v>
      </c>
      <c r="P167" s="77">
        <f t="shared" si="31"/>
        <v>-3.1082890927791595E-10</v>
      </c>
      <c r="Q167" s="24">
        <f t="shared" si="27"/>
        <v>0</v>
      </c>
      <c r="R167" s="77">
        <f t="shared" si="32"/>
        <v>0</v>
      </c>
      <c r="S167" s="19">
        <f t="shared" si="28"/>
        <v>0</v>
      </c>
      <c r="T167" s="77">
        <f t="shared" si="29"/>
        <v>-8.2887709140777588E-8</v>
      </c>
      <c r="U167" s="19">
        <f t="shared" si="33"/>
        <v>0</v>
      </c>
    </row>
    <row r="168" spans="13:21" x14ac:dyDescent="0.3">
      <c r="M168" s="19">
        <v>165</v>
      </c>
      <c r="N168" s="76">
        <f t="shared" si="26"/>
        <v>49218</v>
      </c>
      <c r="O168" s="77">
        <f t="shared" si="30"/>
        <v>0</v>
      </c>
      <c r="P168" s="77">
        <f t="shared" si="31"/>
        <v>-3.1082890927791595E-10</v>
      </c>
      <c r="Q168" s="24">
        <f t="shared" si="27"/>
        <v>0</v>
      </c>
      <c r="R168" s="77">
        <f t="shared" si="32"/>
        <v>0</v>
      </c>
      <c r="S168" s="19">
        <f t="shared" si="28"/>
        <v>0</v>
      </c>
      <c r="T168" s="77">
        <f t="shared" si="29"/>
        <v>-8.2887709140777588E-8</v>
      </c>
      <c r="U168" s="19">
        <f t="shared" si="33"/>
        <v>0</v>
      </c>
    </row>
    <row r="169" spans="13:21" x14ac:dyDescent="0.3">
      <c r="M169" s="20">
        <v>166</v>
      </c>
      <c r="N169" s="76">
        <f t="shared" si="26"/>
        <v>49249</v>
      </c>
      <c r="O169" s="77">
        <f t="shared" si="30"/>
        <v>0</v>
      </c>
      <c r="P169" s="77">
        <f t="shared" si="31"/>
        <v>-3.1082890927791595E-10</v>
      </c>
      <c r="Q169" s="24">
        <f t="shared" si="27"/>
        <v>0</v>
      </c>
      <c r="R169" s="77">
        <f t="shared" si="32"/>
        <v>0</v>
      </c>
      <c r="S169" s="19">
        <f t="shared" si="28"/>
        <v>0</v>
      </c>
      <c r="T169" s="77">
        <f t="shared" si="29"/>
        <v>-8.2887709140777588E-8</v>
      </c>
      <c r="U169" s="19">
        <f t="shared" si="33"/>
        <v>0</v>
      </c>
    </row>
    <row r="170" spans="13:21" x14ac:dyDescent="0.3">
      <c r="M170" s="19">
        <v>167</v>
      </c>
      <c r="N170" s="76">
        <f t="shared" si="26"/>
        <v>49279</v>
      </c>
      <c r="O170" s="77">
        <f t="shared" si="30"/>
        <v>0</v>
      </c>
      <c r="P170" s="77">
        <f t="shared" si="31"/>
        <v>-3.1082890927791595E-10</v>
      </c>
      <c r="Q170" s="24">
        <f t="shared" si="27"/>
        <v>0</v>
      </c>
      <c r="R170" s="77">
        <f t="shared" si="32"/>
        <v>0</v>
      </c>
      <c r="S170" s="19">
        <f t="shared" si="28"/>
        <v>0</v>
      </c>
      <c r="T170" s="77">
        <f t="shared" si="29"/>
        <v>-8.2887709140777588E-8</v>
      </c>
      <c r="U170" s="19">
        <f t="shared" si="33"/>
        <v>0</v>
      </c>
    </row>
    <row r="171" spans="13:21" x14ac:dyDescent="0.3">
      <c r="M171" s="20">
        <v>168</v>
      </c>
      <c r="N171" s="76">
        <f t="shared" si="26"/>
        <v>49310</v>
      </c>
      <c r="O171" s="77">
        <f t="shared" si="30"/>
        <v>0</v>
      </c>
      <c r="P171" s="77">
        <f t="shared" si="31"/>
        <v>-3.1082890927791595E-10</v>
      </c>
      <c r="Q171" s="24">
        <f t="shared" si="27"/>
        <v>0</v>
      </c>
      <c r="R171" s="77">
        <f t="shared" si="32"/>
        <v>0</v>
      </c>
      <c r="S171" s="19">
        <f t="shared" si="28"/>
        <v>0</v>
      </c>
      <c r="T171" s="77">
        <f t="shared" si="29"/>
        <v>-8.2887709140777588E-8</v>
      </c>
      <c r="U171" s="19">
        <f t="shared" si="33"/>
        <v>0</v>
      </c>
    </row>
    <row r="172" spans="13:21" x14ac:dyDescent="0.3">
      <c r="M172" s="19">
        <v>169</v>
      </c>
      <c r="N172" s="76">
        <f t="shared" si="26"/>
        <v>49341</v>
      </c>
      <c r="O172" s="77">
        <f t="shared" si="30"/>
        <v>0</v>
      </c>
      <c r="P172" s="77">
        <f t="shared" si="31"/>
        <v>-3.1082890927791595E-10</v>
      </c>
      <c r="Q172" s="24">
        <f t="shared" si="27"/>
        <v>0</v>
      </c>
      <c r="R172" s="77">
        <f t="shared" si="32"/>
        <v>0</v>
      </c>
      <c r="S172" s="19">
        <f t="shared" si="28"/>
        <v>0</v>
      </c>
      <c r="T172" s="77">
        <f t="shared" si="29"/>
        <v>-8.2887709140777588E-8</v>
      </c>
      <c r="U172" s="19">
        <f t="shared" si="33"/>
        <v>0</v>
      </c>
    </row>
    <row r="173" spans="13:21" x14ac:dyDescent="0.3">
      <c r="M173" s="20">
        <v>170</v>
      </c>
      <c r="N173" s="76">
        <f t="shared" si="26"/>
        <v>49369</v>
      </c>
      <c r="O173" s="77">
        <f t="shared" si="30"/>
        <v>0</v>
      </c>
      <c r="P173" s="77">
        <f t="shared" si="31"/>
        <v>-3.1082890927791595E-10</v>
      </c>
      <c r="Q173" s="24">
        <f t="shared" si="27"/>
        <v>0</v>
      </c>
      <c r="R173" s="77">
        <f t="shared" si="32"/>
        <v>0</v>
      </c>
      <c r="S173" s="19">
        <f t="shared" si="28"/>
        <v>0</v>
      </c>
      <c r="T173" s="77">
        <f t="shared" si="29"/>
        <v>-8.2887709140777588E-8</v>
      </c>
      <c r="U173" s="19">
        <f t="shared" si="33"/>
        <v>0</v>
      </c>
    </row>
    <row r="174" spans="13:21" x14ac:dyDescent="0.3">
      <c r="M174" s="19">
        <v>171</v>
      </c>
      <c r="N174" s="76">
        <f t="shared" si="26"/>
        <v>49400</v>
      </c>
      <c r="O174" s="77">
        <f t="shared" si="30"/>
        <v>0</v>
      </c>
      <c r="P174" s="77">
        <f t="shared" si="31"/>
        <v>-3.1082890927791595E-10</v>
      </c>
      <c r="Q174" s="24">
        <f t="shared" si="27"/>
        <v>0</v>
      </c>
      <c r="R174" s="77">
        <f t="shared" si="32"/>
        <v>0</v>
      </c>
      <c r="S174" s="19">
        <f t="shared" si="28"/>
        <v>0</v>
      </c>
      <c r="T174" s="77">
        <f t="shared" si="29"/>
        <v>-8.2887709140777588E-8</v>
      </c>
      <c r="U174" s="19">
        <f t="shared" si="33"/>
        <v>0</v>
      </c>
    </row>
    <row r="175" spans="13:21" x14ac:dyDescent="0.3">
      <c r="M175" s="20">
        <v>172</v>
      </c>
      <c r="N175" s="76">
        <f t="shared" si="26"/>
        <v>49430</v>
      </c>
      <c r="O175" s="77">
        <f t="shared" si="30"/>
        <v>0</v>
      </c>
      <c r="P175" s="77">
        <f t="shared" si="31"/>
        <v>-3.1082890927791595E-10</v>
      </c>
      <c r="Q175" s="24">
        <f t="shared" si="27"/>
        <v>0</v>
      </c>
      <c r="R175" s="77">
        <f t="shared" si="32"/>
        <v>0</v>
      </c>
      <c r="S175" s="19">
        <f t="shared" si="28"/>
        <v>0</v>
      </c>
      <c r="T175" s="77">
        <f t="shared" si="29"/>
        <v>-8.2887709140777588E-8</v>
      </c>
      <c r="U175" s="19">
        <f t="shared" si="33"/>
        <v>0</v>
      </c>
    </row>
    <row r="176" spans="13:21" x14ac:dyDescent="0.3">
      <c r="M176" s="19">
        <v>173</v>
      </c>
      <c r="N176" s="76">
        <f t="shared" si="26"/>
        <v>49461</v>
      </c>
      <c r="O176" s="77">
        <f t="shared" si="30"/>
        <v>0</v>
      </c>
      <c r="P176" s="77">
        <f t="shared" si="31"/>
        <v>-3.1082890927791595E-10</v>
      </c>
      <c r="Q176" s="24">
        <f t="shared" si="27"/>
        <v>0</v>
      </c>
      <c r="R176" s="77">
        <f t="shared" si="32"/>
        <v>0</v>
      </c>
      <c r="S176" s="19">
        <f t="shared" si="28"/>
        <v>0</v>
      </c>
      <c r="T176" s="77">
        <f t="shared" si="29"/>
        <v>-8.2887709140777588E-8</v>
      </c>
      <c r="U176" s="19">
        <f t="shared" si="33"/>
        <v>0</v>
      </c>
    </row>
    <row r="177" spans="13:21" x14ac:dyDescent="0.3">
      <c r="M177" s="20">
        <v>174</v>
      </c>
      <c r="N177" s="76">
        <f t="shared" si="26"/>
        <v>49491</v>
      </c>
      <c r="O177" s="77">
        <f t="shared" si="30"/>
        <v>0</v>
      </c>
      <c r="P177" s="77">
        <f t="shared" si="31"/>
        <v>-3.1082890927791595E-10</v>
      </c>
      <c r="Q177" s="24">
        <f t="shared" si="27"/>
        <v>0</v>
      </c>
      <c r="R177" s="77">
        <f t="shared" si="32"/>
        <v>0</v>
      </c>
      <c r="S177" s="19">
        <f t="shared" si="28"/>
        <v>0</v>
      </c>
      <c r="T177" s="77">
        <f t="shared" si="29"/>
        <v>-8.2887709140777588E-8</v>
      </c>
      <c r="U177" s="19">
        <f t="shared" si="33"/>
        <v>0</v>
      </c>
    </row>
    <row r="178" spans="13:21" x14ac:dyDescent="0.3">
      <c r="M178" s="19">
        <v>175</v>
      </c>
      <c r="N178" s="76">
        <f t="shared" si="26"/>
        <v>49522</v>
      </c>
      <c r="O178" s="77">
        <f t="shared" si="30"/>
        <v>0</v>
      </c>
      <c r="P178" s="77">
        <f t="shared" si="31"/>
        <v>-3.1082890927791595E-10</v>
      </c>
      <c r="Q178" s="24">
        <f t="shared" si="27"/>
        <v>0</v>
      </c>
      <c r="R178" s="77">
        <f t="shared" si="32"/>
        <v>0</v>
      </c>
      <c r="S178" s="19">
        <f t="shared" si="28"/>
        <v>0</v>
      </c>
      <c r="T178" s="77">
        <f t="shared" si="29"/>
        <v>-8.2887709140777588E-8</v>
      </c>
      <c r="U178" s="19">
        <f t="shared" si="33"/>
        <v>0</v>
      </c>
    </row>
    <row r="179" spans="13:21" x14ac:dyDescent="0.3">
      <c r="M179" s="20">
        <v>176</v>
      </c>
      <c r="N179" s="76">
        <f t="shared" si="26"/>
        <v>49553</v>
      </c>
      <c r="O179" s="77">
        <f t="shared" si="30"/>
        <v>0</v>
      </c>
      <c r="P179" s="77">
        <f t="shared" si="31"/>
        <v>-3.1082890927791595E-10</v>
      </c>
      <c r="Q179" s="24">
        <f t="shared" si="27"/>
        <v>0</v>
      </c>
      <c r="R179" s="77">
        <f t="shared" si="32"/>
        <v>0</v>
      </c>
      <c r="S179" s="19">
        <f t="shared" si="28"/>
        <v>0</v>
      </c>
      <c r="T179" s="77">
        <f t="shared" si="29"/>
        <v>-8.2887709140777588E-8</v>
      </c>
      <c r="U179" s="19">
        <f t="shared" si="33"/>
        <v>0</v>
      </c>
    </row>
    <row r="180" spans="13:21" x14ac:dyDescent="0.3">
      <c r="M180" s="19">
        <v>177</v>
      </c>
      <c r="N180" s="76">
        <f t="shared" si="26"/>
        <v>49583</v>
      </c>
      <c r="O180" s="77">
        <f t="shared" si="30"/>
        <v>0</v>
      </c>
      <c r="P180" s="77">
        <f t="shared" si="31"/>
        <v>-3.1082890927791595E-10</v>
      </c>
      <c r="Q180" s="24">
        <f t="shared" si="27"/>
        <v>0</v>
      </c>
      <c r="R180" s="77">
        <f t="shared" si="32"/>
        <v>0</v>
      </c>
      <c r="S180" s="19">
        <f t="shared" si="28"/>
        <v>0</v>
      </c>
      <c r="T180" s="77">
        <f t="shared" si="29"/>
        <v>-8.2887709140777588E-8</v>
      </c>
      <c r="U180" s="19">
        <f t="shared" si="33"/>
        <v>0</v>
      </c>
    </row>
    <row r="181" spans="13:21" x14ac:dyDescent="0.3">
      <c r="M181" s="20">
        <v>178</v>
      </c>
      <c r="N181" s="76">
        <f t="shared" si="26"/>
        <v>49614</v>
      </c>
      <c r="O181" s="77">
        <f t="shared" si="30"/>
        <v>0</v>
      </c>
      <c r="P181" s="77">
        <f t="shared" si="31"/>
        <v>-3.1082890927791595E-10</v>
      </c>
      <c r="Q181" s="24">
        <f t="shared" si="27"/>
        <v>0</v>
      </c>
      <c r="R181" s="77">
        <f t="shared" si="32"/>
        <v>0</v>
      </c>
      <c r="S181" s="19">
        <f t="shared" si="28"/>
        <v>0</v>
      </c>
      <c r="T181" s="77">
        <f t="shared" si="29"/>
        <v>-8.2887709140777588E-8</v>
      </c>
      <c r="U181" s="19">
        <f t="shared" si="33"/>
        <v>0</v>
      </c>
    </row>
    <row r="182" spans="13:21" x14ac:dyDescent="0.3">
      <c r="M182" s="19">
        <v>179</v>
      </c>
      <c r="N182" s="76">
        <f t="shared" si="26"/>
        <v>49644</v>
      </c>
      <c r="O182" s="77">
        <f t="shared" si="30"/>
        <v>0</v>
      </c>
      <c r="P182" s="77">
        <f t="shared" si="31"/>
        <v>-3.1082890927791595E-10</v>
      </c>
      <c r="Q182" s="24">
        <f t="shared" si="27"/>
        <v>0</v>
      </c>
      <c r="R182" s="77">
        <f t="shared" si="32"/>
        <v>0</v>
      </c>
      <c r="S182" s="19">
        <f t="shared" si="28"/>
        <v>0</v>
      </c>
      <c r="T182" s="77">
        <f t="shared" si="29"/>
        <v>-8.2887709140777588E-8</v>
      </c>
      <c r="U182" s="19">
        <f t="shared" si="33"/>
        <v>0</v>
      </c>
    </row>
    <row r="183" spans="13:21" x14ac:dyDescent="0.3">
      <c r="M183" s="20">
        <v>180</v>
      </c>
      <c r="N183" s="76">
        <f t="shared" si="26"/>
        <v>49675</v>
      </c>
      <c r="O183" s="77">
        <f t="shared" si="30"/>
        <v>0</v>
      </c>
      <c r="P183" s="77">
        <f t="shared" si="31"/>
        <v>-3.1082890927791595E-10</v>
      </c>
      <c r="Q183" s="24">
        <f t="shared" si="27"/>
        <v>0</v>
      </c>
      <c r="R183" s="77">
        <f t="shared" si="32"/>
        <v>0</v>
      </c>
      <c r="S183" s="19">
        <f t="shared" si="28"/>
        <v>0</v>
      </c>
      <c r="T183" s="77">
        <f t="shared" si="29"/>
        <v>-8.2887709140777588E-8</v>
      </c>
      <c r="U183" s="19">
        <f t="shared" si="33"/>
        <v>0</v>
      </c>
    </row>
    <row r="184" spans="13:21" x14ac:dyDescent="0.3">
      <c r="M184" s="19">
        <v>181</v>
      </c>
      <c r="N184" s="76">
        <f t="shared" si="26"/>
        <v>49706</v>
      </c>
      <c r="O184" s="77">
        <f t="shared" si="30"/>
        <v>0</v>
      </c>
      <c r="P184" s="77">
        <f t="shared" si="31"/>
        <v>-3.1082890927791595E-10</v>
      </c>
      <c r="Q184" s="24">
        <f t="shared" si="27"/>
        <v>0</v>
      </c>
      <c r="R184" s="77">
        <f t="shared" si="32"/>
        <v>0</v>
      </c>
      <c r="S184" s="19">
        <f t="shared" si="28"/>
        <v>0</v>
      </c>
      <c r="T184" s="77">
        <f t="shared" si="29"/>
        <v>-8.2887709140777588E-8</v>
      </c>
      <c r="U184" s="19">
        <f t="shared" si="33"/>
        <v>0</v>
      </c>
    </row>
    <row r="185" spans="13:21" x14ac:dyDescent="0.3">
      <c r="M185" s="20">
        <v>182</v>
      </c>
      <c r="N185" s="76">
        <f t="shared" si="26"/>
        <v>49735</v>
      </c>
      <c r="O185" s="77">
        <f t="shared" si="30"/>
        <v>0</v>
      </c>
      <c r="P185" s="77">
        <f t="shared" si="31"/>
        <v>-3.1082890927791595E-10</v>
      </c>
      <c r="Q185" s="24">
        <f t="shared" si="27"/>
        <v>0</v>
      </c>
      <c r="R185" s="77">
        <f t="shared" si="32"/>
        <v>0</v>
      </c>
      <c r="S185" s="19">
        <f t="shared" si="28"/>
        <v>0</v>
      </c>
      <c r="T185" s="77">
        <f t="shared" si="29"/>
        <v>-8.2887709140777588E-8</v>
      </c>
      <c r="U185" s="19">
        <f t="shared" si="33"/>
        <v>0</v>
      </c>
    </row>
    <row r="186" spans="13:21" x14ac:dyDescent="0.3">
      <c r="M186" s="19">
        <v>183</v>
      </c>
      <c r="N186" s="76">
        <f t="shared" si="26"/>
        <v>49766</v>
      </c>
      <c r="O186" s="77">
        <f t="shared" si="30"/>
        <v>0</v>
      </c>
      <c r="P186" s="77">
        <f t="shared" si="31"/>
        <v>-3.1082890927791595E-10</v>
      </c>
      <c r="Q186" s="24">
        <f t="shared" si="27"/>
        <v>0</v>
      </c>
      <c r="R186" s="77">
        <f t="shared" si="32"/>
        <v>0</v>
      </c>
      <c r="S186" s="19">
        <f t="shared" si="28"/>
        <v>0</v>
      </c>
      <c r="T186" s="77">
        <f t="shared" si="29"/>
        <v>-8.2887709140777588E-8</v>
      </c>
      <c r="U186" s="19">
        <f t="shared" si="33"/>
        <v>0</v>
      </c>
    </row>
    <row r="187" spans="13:21" x14ac:dyDescent="0.3">
      <c r="M187" s="20">
        <v>184</v>
      </c>
      <c r="N187" s="76">
        <f t="shared" si="26"/>
        <v>49796</v>
      </c>
      <c r="O187" s="77">
        <f t="shared" si="30"/>
        <v>0</v>
      </c>
      <c r="P187" s="77">
        <f t="shared" si="31"/>
        <v>-3.1082890927791595E-10</v>
      </c>
      <c r="Q187" s="24">
        <f t="shared" si="27"/>
        <v>0</v>
      </c>
      <c r="R187" s="77">
        <f t="shared" si="32"/>
        <v>0</v>
      </c>
      <c r="S187" s="19">
        <f t="shared" si="28"/>
        <v>0</v>
      </c>
      <c r="T187" s="77">
        <f t="shared" si="29"/>
        <v>-8.2887709140777588E-8</v>
      </c>
      <c r="U187" s="19">
        <f t="shared" si="33"/>
        <v>0</v>
      </c>
    </row>
    <row r="188" spans="13:21" x14ac:dyDescent="0.3">
      <c r="M188" s="19">
        <v>185</v>
      </c>
      <c r="N188" s="76">
        <f t="shared" si="26"/>
        <v>49827</v>
      </c>
      <c r="O188" s="77">
        <f t="shared" si="30"/>
        <v>0</v>
      </c>
      <c r="P188" s="77">
        <f t="shared" si="31"/>
        <v>-3.1082890927791595E-10</v>
      </c>
      <c r="Q188" s="24">
        <f t="shared" si="27"/>
        <v>0</v>
      </c>
      <c r="R188" s="77">
        <f t="shared" si="32"/>
        <v>0</v>
      </c>
      <c r="S188" s="19">
        <f t="shared" si="28"/>
        <v>0</v>
      </c>
      <c r="T188" s="77">
        <f t="shared" si="29"/>
        <v>-8.2887709140777588E-8</v>
      </c>
      <c r="U188" s="19">
        <f t="shared" si="33"/>
        <v>0</v>
      </c>
    </row>
    <row r="189" spans="13:21" x14ac:dyDescent="0.3">
      <c r="M189" s="20">
        <v>186</v>
      </c>
      <c r="N189" s="76">
        <f t="shared" si="26"/>
        <v>49857</v>
      </c>
      <c r="O189" s="77">
        <f t="shared" si="30"/>
        <v>0</v>
      </c>
      <c r="P189" s="77">
        <f t="shared" si="31"/>
        <v>-3.1082890927791595E-10</v>
      </c>
      <c r="Q189" s="24">
        <f t="shared" si="27"/>
        <v>0</v>
      </c>
      <c r="R189" s="77">
        <f t="shared" si="32"/>
        <v>0</v>
      </c>
      <c r="S189" s="19">
        <f t="shared" si="28"/>
        <v>0</v>
      </c>
      <c r="T189" s="77">
        <f t="shared" si="29"/>
        <v>-8.2887709140777588E-8</v>
      </c>
      <c r="U189" s="19">
        <f t="shared" si="33"/>
        <v>0</v>
      </c>
    </row>
    <row r="190" spans="13:21" x14ac:dyDescent="0.3">
      <c r="M190" s="19">
        <v>187</v>
      </c>
      <c r="N190" s="76">
        <f t="shared" si="26"/>
        <v>49888</v>
      </c>
      <c r="O190" s="77">
        <f t="shared" si="30"/>
        <v>0</v>
      </c>
      <c r="P190" s="77">
        <f t="shared" si="31"/>
        <v>-3.1082890927791595E-10</v>
      </c>
      <c r="Q190" s="24">
        <f t="shared" si="27"/>
        <v>0</v>
      </c>
      <c r="R190" s="77">
        <f t="shared" si="32"/>
        <v>0</v>
      </c>
      <c r="S190" s="19">
        <f t="shared" si="28"/>
        <v>0</v>
      </c>
      <c r="T190" s="77">
        <f t="shared" si="29"/>
        <v>-8.2887709140777588E-8</v>
      </c>
      <c r="U190" s="19">
        <f t="shared" si="33"/>
        <v>0</v>
      </c>
    </row>
    <row r="191" spans="13:21" x14ac:dyDescent="0.3">
      <c r="M191" s="20">
        <v>188</v>
      </c>
      <c r="N191" s="76">
        <f t="shared" si="26"/>
        <v>49919</v>
      </c>
      <c r="O191" s="77">
        <f t="shared" si="30"/>
        <v>0</v>
      </c>
      <c r="P191" s="77">
        <f t="shared" si="31"/>
        <v>-3.1082890927791595E-10</v>
      </c>
      <c r="Q191" s="24">
        <f t="shared" si="27"/>
        <v>0</v>
      </c>
      <c r="R191" s="77">
        <f t="shared" si="32"/>
        <v>0</v>
      </c>
      <c r="S191" s="19">
        <f t="shared" si="28"/>
        <v>0</v>
      </c>
      <c r="T191" s="77">
        <f t="shared" si="29"/>
        <v>-8.2887709140777588E-8</v>
      </c>
      <c r="U191" s="19">
        <f t="shared" si="33"/>
        <v>0</v>
      </c>
    </row>
    <row r="192" spans="13:21" x14ac:dyDescent="0.3">
      <c r="M192" s="19">
        <v>189</v>
      </c>
      <c r="N192" s="76">
        <f t="shared" si="26"/>
        <v>49949</v>
      </c>
      <c r="O192" s="77">
        <f t="shared" si="30"/>
        <v>0</v>
      </c>
      <c r="P192" s="77">
        <f t="shared" si="31"/>
        <v>-3.1082890927791595E-10</v>
      </c>
      <c r="Q192" s="24">
        <f t="shared" si="27"/>
        <v>0</v>
      </c>
      <c r="R192" s="77">
        <f t="shared" si="32"/>
        <v>0</v>
      </c>
      <c r="S192" s="19">
        <f t="shared" si="28"/>
        <v>0</v>
      </c>
      <c r="T192" s="77">
        <f t="shared" si="29"/>
        <v>-8.2887709140777588E-8</v>
      </c>
      <c r="U192" s="19">
        <f t="shared" si="33"/>
        <v>0</v>
      </c>
    </row>
    <row r="193" spans="13:21" x14ac:dyDescent="0.3">
      <c r="M193" s="20">
        <v>190</v>
      </c>
      <c r="N193" s="76">
        <f t="shared" si="26"/>
        <v>49980</v>
      </c>
      <c r="O193" s="77">
        <f t="shared" si="30"/>
        <v>0</v>
      </c>
      <c r="P193" s="77">
        <f t="shared" si="31"/>
        <v>-3.1082890927791595E-10</v>
      </c>
      <c r="Q193" s="24">
        <f t="shared" si="27"/>
        <v>0</v>
      </c>
      <c r="R193" s="77">
        <f t="shared" si="32"/>
        <v>0</v>
      </c>
      <c r="S193" s="19">
        <f t="shared" si="28"/>
        <v>0</v>
      </c>
      <c r="T193" s="77">
        <f t="shared" si="29"/>
        <v>-8.2887709140777588E-8</v>
      </c>
      <c r="U193" s="19">
        <f t="shared" si="33"/>
        <v>0</v>
      </c>
    </row>
    <row r="194" spans="13:21" x14ac:dyDescent="0.3">
      <c r="M194" s="19">
        <v>191</v>
      </c>
      <c r="N194" s="76">
        <f t="shared" si="26"/>
        <v>50010</v>
      </c>
      <c r="O194" s="77">
        <f t="shared" si="30"/>
        <v>0</v>
      </c>
      <c r="P194" s="77">
        <f t="shared" si="31"/>
        <v>-3.1082890927791595E-10</v>
      </c>
      <c r="Q194" s="24">
        <f t="shared" si="27"/>
        <v>0</v>
      </c>
      <c r="R194" s="77">
        <f t="shared" si="32"/>
        <v>0</v>
      </c>
      <c r="S194" s="19">
        <f t="shared" si="28"/>
        <v>0</v>
      </c>
      <c r="T194" s="77">
        <f t="shared" si="29"/>
        <v>-8.2887709140777588E-8</v>
      </c>
      <c r="U194" s="19">
        <f t="shared" si="33"/>
        <v>0</v>
      </c>
    </row>
    <row r="195" spans="13:21" x14ac:dyDescent="0.3">
      <c r="M195" s="20">
        <v>192</v>
      </c>
      <c r="N195" s="76">
        <f t="shared" si="26"/>
        <v>50041</v>
      </c>
      <c r="O195" s="77">
        <f t="shared" si="30"/>
        <v>0</v>
      </c>
      <c r="P195" s="77">
        <f t="shared" si="31"/>
        <v>-3.1082890927791595E-10</v>
      </c>
      <c r="Q195" s="24">
        <f t="shared" si="27"/>
        <v>0</v>
      </c>
      <c r="R195" s="77">
        <f t="shared" si="32"/>
        <v>0</v>
      </c>
      <c r="S195" s="19">
        <f t="shared" si="28"/>
        <v>0</v>
      </c>
      <c r="T195" s="77">
        <f t="shared" si="29"/>
        <v>-8.2887709140777588E-8</v>
      </c>
      <c r="U195" s="19">
        <f t="shared" si="33"/>
        <v>0</v>
      </c>
    </row>
    <row r="196" spans="13:21" x14ac:dyDescent="0.3">
      <c r="M196" s="19">
        <v>193</v>
      </c>
      <c r="N196" s="76">
        <f t="shared" ref="N196:N243" si="34">EDATE($Z$13,M196)</f>
        <v>50072</v>
      </c>
      <c r="O196" s="77">
        <f t="shared" si="30"/>
        <v>0</v>
      </c>
      <c r="P196" s="77">
        <f t="shared" si="31"/>
        <v>-3.1082890927791595E-10</v>
      </c>
      <c r="Q196" s="24">
        <f t="shared" ref="Q196:Q243" si="35">IF(T196&gt;0,P196,IF(S196&gt;0,P196,0))</f>
        <v>0</v>
      </c>
      <c r="R196" s="77">
        <f t="shared" si="32"/>
        <v>0</v>
      </c>
      <c r="S196" s="19">
        <f t="shared" si="28"/>
        <v>0</v>
      </c>
      <c r="T196" s="77">
        <f t="shared" si="29"/>
        <v>-8.2887709140777588E-8</v>
      </c>
      <c r="U196" s="19">
        <f t="shared" si="33"/>
        <v>0</v>
      </c>
    </row>
    <row r="197" spans="13:21" x14ac:dyDescent="0.3">
      <c r="M197" s="20">
        <v>194</v>
      </c>
      <c r="N197" s="76">
        <f t="shared" si="34"/>
        <v>50100</v>
      </c>
      <c r="O197" s="77">
        <f t="shared" si="30"/>
        <v>0</v>
      </c>
      <c r="P197" s="77">
        <f t="shared" si="31"/>
        <v>-3.1082890927791595E-10</v>
      </c>
      <c r="Q197" s="24">
        <f t="shared" si="35"/>
        <v>0</v>
      </c>
      <c r="R197" s="77">
        <f t="shared" si="32"/>
        <v>0</v>
      </c>
      <c r="S197" s="19">
        <f t="shared" ref="S197:S243" si="36">IF(M197&gt;$Z$12,0,(IF(M197&lt;=$W$17,0,$Z$14)))</f>
        <v>0</v>
      </c>
      <c r="T197" s="77">
        <f t="shared" ref="T197:T243" si="37">T196-O197</f>
        <v>-8.2887709140777588E-8</v>
      </c>
      <c r="U197" s="19">
        <f t="shared" si="33"/>
        <v>0</v>
      </c>
    </row>
    <row r="198" spans="13:21" x14ac:dyDescent="0.3">
      <c r="M198" s="19">
        <v>195</v>
      </c>
      <c r="N198" s="76">
        <f t="shared" si="34"/>
        <v>50131</v>
      </c>
      <c r="O198" s="77">
        <f t="shared" ref="O198:O243" si="38">IF(M198&lt;=$W$17,0,(IF(M198&lt;=$Z$12,S198-P198,0)))</f>
        <v>0</v>
      </c>
      <c r="P198" s="77">
        <f t="shared" ref="P198:P243" si="39">T197*$W$15/12</f>
        <v>-3.1082890927791595E-10</v>
      </c>
      <c r="Q198" s="24">
        <f t="shared" si="35"/>
        <v>0</v>
      </c>
      <c r="R198" s="77">
        <f t="shared" ref="R198:R243" si="40">IF(M198&gt;SUM($W$16:$W$17),0,SUM(O198,Q198))</f>
        <v>0</v>
      </c>
      <c r="S198" s="19">
        <f t="shared" si="36"/>
        <v>0</v>
      </c>
      <c r="T198" s="77">
        <f t="shared" si="37"/>
        <v>-8.2887709140777588E-8</v>
      </c>
      <c r="U198" s="19">
        <f t="shared" ref="U198:U243" si="41">O198+Q198</f>
        <v>0</v>
      </c>
    </row>
    <row r="199" spans="13:21" x14ac:dyDescent="0.3">
      <c r="M199" s="20">
        <v>196</v>
      </c>
      <c r="N199" s="76">
        <f t="shared" si="34"/>
        <v>50161</v>
      </c>
      <c r="O199" s="77">
        <f t="shared" si="38"/>
        <v>0</v>
      </c>
      <c r="P199" s="77">
        <f t="shared" si="39"/>
        <v>-3.1082890927791595E-10</v>
      </c>
      <c r="Q199" s="24">
        <f t="shared" si="35"/>
        <v>0</v>
      </c>
      <c r="R199" s="77">
        <f t="shared" si="40"/>
        <v>0</v>
      </c>
      <c r="S199" s="19">
        <f t="shared" si="36"/>
        <v>0</v>
      </c>
      <c r="T199" s="77">
        <f t="shared" si="37"/>
        <v>-8.2887709140777588E-8</v>
      </c>
      <c r="U199" s="19">
        <f t="shared" si="41"/>
        <v>0</v>
      </c>
    </row>
    <row r="200" spans="13:21" x14ac:dyDescent="0.3">
      <c r="M200" s="19">
        <v>197</v>
      </c>
      <c r="N200" s="76">
        <f t="shared" si="34"/>
        <v>50192</v>
      </c>
      <c r="O200" s="77">
        <f t="shared" si="38"/>
        <v>0</v>
      </c>
      <c r="P200" s="77">
        <f t="shared" si="39"/>
        <v>-3.1082890927791595E-10</v>
      </c>
      <c r="Q200" s="24">
        <f t="shared" si="35"/>
        <v>0</v>
      </c>
      <c r="R200" s="77">
        <f t="shared" si="40"/>
        <v>0</v>
      </c>
      <c r="S200" s="19">
        <f t="shared" si="36"/>
        <v>0</v>
      </c>
      <c r="T200" s="77">
        <f t="shared" si="37"/>
        <v>-8.2887709140777588E-8</v>
      </c>
      <c r="U200" s="19">
        <f t="shared" si="41"/>
        <v>0</v>
      </c>
    </row>
    <row r="201" spans="13:21" x14ac:dyDescent="0.3">
      <c r="M201" s="20">
        <v>198</v>
      </c>
      <c r="N201" s="76">
        <f t="shared" si="34"/>
        <v>50222</v>
      </c>
      <c r="O201" s="77">
        <f t="shared" si="38"/>
        <v>0</v>
      </c>
      <c r="P201" s="77">
        <f t="shared" si="39"/>
        <v>-3.1082890927791595E-10</v>
      </c>
      <c r="Q201" s="24">
        <f t="shared" si="35"/>
        <v>0</v>
      </c>
      <c r="R201" s="77">
        <f t="shared" si="40"/>
        <v>0</v>
      </c>
      <c r="S201" s="19">
        <f t="shared" si="36"/>
        <v>0</v>
      </c>
      <c r="T201" s="77">
        <f t="shared" si="37"/>
        <v>-8.2887709140777588E-8</v>
      </c>
      <c r="U201" s="19">
        <f t="shared" si="41"/>
        <v>0</v>
      </c>
    </row>
    <row r="202" spans="13:21" x14ac:dyDescent="0.3">
      <c r="M202" s="19">
        <v>199</v>
      </c>
      <c r="N202" s="76">
        <f t="shared" si="34"/>
        <v>50253</v>
      </c>
      <c r="O202" s="77">
        <f t="shared" si="38"/>
        <v>0</v>
      </c>
      <c r="P202" s="77">
        <f t="shared" si="39"/>
        <v>-3.1082890927791595E-10</v>
      </c>
      <c r="Q202" s="24">
        <f t="shared" si="35"/>
        <v>0</v>
      </c>
      <c r="R202" s="77">
        <f t="shared" si="40"/>
        <v>0</v>
      </c>
      <c r="S202" s="19">
        <f t="shared" si="36"/>
        <v>0</v>
      </c>
      <c r="T202" s="77">
        <f t="shared" si="37"/>
        <v>-8.2887709140777588E-8</v>
      </c>
      <c r="U202" s="19">
        <f t="shared" si="41"/>
        <v>0</v>
      </c>
    </row>
    <row r="203" spans="13:21" x14ac:dyDescent="0.3">
      <c r="M203" s="20">
        <v>200</v>
      </c>
      <c r="N203" s="76">
        <f t="shared" si="34"/>
        <v>50284</v>
      </c>
      <c r="O203" s="77">
        <f t="shared" si="38"/>
        <v>0</v>
      </c>
      <c r="P203" s="77">
        <f t="shared" si="39"/>
        <v>-3.1082890927791595E-10</v>
      </c>
      <c r="Q203" s="24">
        <f t="shared" si="35"/>
        <v>0</v>
      </c>
      <c r="R203" s="77">
        <f t="shared" si="40"/>
        <v>0</v>
      </c>
      <c r="S203" s="19">
        <f t="shared" si="36"/>
        <v>0</v>
      </c>
      <c r="T203" s="77">
        <f t="shared" si="37"/>
        <v>-8.2887709140777588E-8</v>
      </c>
      <c r="U203" s="19">
        <f t="shared" si="41"/>
        <v>0</v>
      </c>
    </row>
    <row r="204" spans="13:21" x14ac:dyDescent="0.3">
      <c r="M204" s="19">
        <v>201</v>
      </c>
      <c r="N204" s="76">
        <f t="shared" si="34"/>
        <v>50314</v>
      </c>
      <c r="O204" s="77">
        <f t="shared" si="38"/>
        <v>0</v>
      </c>
      <c r="P204" s="77">
        <f t="shared" si="39"/>
        <v>-3.1082890927791595E-10</v>
      </c>
      <c r="Q204" s="24">
        <f t="shared" si="35"/>
        <v>0</v>
      </c>
      <c r="R204" s="77">
        <f t="shared" si="40"/>
        <v>0</v>
      </c>
      <c r="S204" s="19">
        <f t="shared" si="36"/>
        <v>0</v>
      </c>
      <c r="T204" s="77">
        <f t="shared" si="37"/>
        <v>-8.2887709140777588E-8</v>
      </c>
      <c r="U204" s="19">
        <f t="shared" si="41"/>
        <v>0</v>
      </c>
    </row>
    <row r="205" spans="13:21" x14ac:dyDescent="0.3">
      <c r="M205" s="20">
        <v>202</v>
      </c>
      <c r="N205" s="76">
        <f t="shared" si="34"/>
        <v>50345</v>
      </c>
      <c r="O205" s="77">
        <f t="shared" si="38"/>
        <v>0</v>
      </c>
      <c r="P205" s="77">
        <f t="shared" si="39"/>
        <v>-3.1082890927791595E-10</v>
      </c>
      <c r="Q205" s="24">
        <f t="shared" si="35"/>
        <v>0</v>
      </c>
      <c r="R205" s="77">
        <f t="shared" si="40"/>
        <v>0</v>
      </c>
      <c r="S205" s="19">
        <f t="shared" si="36"/>
        <v>0</v>
      </c>
      <c r="T205" s="77">
        <f t="shared" si="37"/>
        <v>-8.2887709140777588E-8</v>
      </c>
      <c r="U205" s="19">
        <f t="shared" si="41"/>
        <v>0</v>
      </c>
    </row>
    <row r="206" spans="13:21" x14ac:dyDescent="0.3">
      <c r="M206" s="19">
        <v>203</v>
      </c>
      <c r="N206" s="76">
        <f t="shared" si="34"/>
        <v>50375</v>
      </c>
      <c r="O206" s="77">
        <f t="shared" si="38"/>
        <v>0</v>
      </c>
      <c r="P206" s="77">
        <f t="shared" si="39"/>
        <v>-3.1082890927791595E-10</v>
      </c>
      <c r="Q206" s="24">
        <f t="shared" si="35"/>
        <v>0</v>
      </c>
      <c r="R206" s="77">
        <f t="shared" si="40"/>
        <v>0</v>
      </c>
      <c r="S206" s="19">
        <f t="shared" si="36"/>
        <v>0</v>
      </c>
      <c r="T206" s="77">
        <f t="shared" si="37"/>
        <v>-8.2887709140777588E-8</v>
      </c>
      <c r="U206" s="19">
        <f t="shared" si="41"/>
        <v>0</v>
      </c>
    </row>
    <row r="207" spans="13:21" x14ac:dyDescent="0.3">
      <c r="M207" s="20">
        <v>204</v>
      </c>
      <c r="N207" s="76">
        <f t="shared" si="34"/>
        <v>50406</v>
      </c>
      <c r="O207" s="77">
        <f t="shared" si="38"/>
        <v>0</v>
      </c>
      <c r="P207" s="77">
        <f t="shared" si="39"/>
        <v>-3.1082890927791595E-10</v>
      </c>
      <c r="Q207" s="24">
        <f t="shared" si="35"/>
        <v>0</v>
      </c>
      <c r="R207" s="77">
        <f t="shared" si="40"/>
        <v>0</v>
      </c>
      <c r="S207" s="19">
        <f t="shared" si="36"/>
        <v>0</v>
      </c>
      <c r="T207" s="77">
        <f t="shared" si="37"/>
        <v>-8.2887709140777588E-8</v>
      </c>
      <c r="U207" s="19">
        <f t="shared" si="41"/>
        <v>0</v>
      </c>
    </row>
    <row r="208" spans="13:21" x14ac:dyDescent="0.3">
      <c r="M208" s="19">
        <v>205</v>
      </c>
      <c r="N208" s="76">
        <f t="shared" si="34"/>
        <v>50437</v>
      </c>
      <c r="O208" s="77">
        <f t="shared" si="38"/>
        <v>0</v>
      </c>
      <c r="P208" s="77">
        <f t="shared" si="39"/>
        <v>-3.1082890927791595E-10</v>
      </c>
      <c r="Q208" s="24">
        <f t="shared" si="35"/>
        <v>0</v>
      </c>
      <c r="R208" s="77">
        <f t="shared" si="40"/>
        <v>0</v>
      </c>
      <c r="S208" s="19">
        <f t="shared" si="36"/>
        <v>0</v>
      </c>
      <c r="T208" s="77">
        <f t="shared" si="37"/>
        <v>-8.2887709140777588E-8</v>
      </c>
      <c r="U208" s="19">
        <f t="shared" si="41"/>
        <v>0</v>
      </c>
    </row>
    <row r="209" spans="13:21" x14ac:dyDescent="0.3">
      <c r="M209" s="20">
        <v>206</v>
      </c>
      <c r="N209" s="76">
        <f t="shared" si="34"/>
        <v>50465</v>
      </c>
      <c r="O209" s="77">
        <f t="shared" si="38"/>
        <v>0</v>
      </c>
      <c r="P209" s="77">
        <f t="shared" si="39"/>
        <v>-3.1082890927791595E-10</v>
      </c>
      <c r="Q209" s="24">
        <f t="shared" si="35"/>
        <v>0</v>
      </c>
      <c r="R209" s="77">
        <f t="shared" si="40"/>
        <v>0</v>
      </c>
      <c r="S209" s="19">
        <f t="shared" si="36"/>
        <v>0</v>
      </c>
      <c r="T209" s="77">
        <f t="shared" si="37"/>
        <v>-8.2887709140777588E-8</v>
      </c>
      <c r="U209" s="19">
        <f t="shared" si="41"/>
        <v>0</v>
      </c>
    </row>
    <row r="210" spans="13:21" x14ac:dyDescent="0.3">
      <c r="M210" s="19">
        <v>207</v>
      </c>
      <c r="N210" s="76">
        <f t="shared" si="34"/>
        <v>50496</v>
      </c>
      <c r="O210" s="77">
        <f t="shared" si="38"/>
        <v>0</v>
      </c>
      <c r="P210" s="77">
        <f t="shared" si="39"/>
        <v>-3.1082890927791595E-10</v>
      </c>
      <c r="Q210" s="24">
        <f t="shared" si="35"/>
        <v>0</v>
      </c>
      <c r="R210" s="77">
        <f t="shared" si="40"/>
        <v>0</v>
      </c>
      <c r="S210" s="19">
        <f t="shared" si="36"/>
        <v>0</v>
      </c>
      <c r="T210" s="77">
        <f t="shared" si="37"/>
        <v>-8.2887709140777588E-8</v>
      </c>
      <c r="U210" s="19">
        <f t="shared" si="41"/>
        <v>0</v>
      </c>
    </row>
    <row r="211" spans="13:21" x14ac:dyDescent="0.3">
      <c r="M211" s="20">
        <v>208</v>
      </c>
      <c r="N211" s="76">
        <f t="shared" si="34"/>
        <v>50526</v>
      </c>
      <c r="O211" s="77">
        <f t="shared" si="38"/>
        <v>0</v>
      </c>
      <c r="P211" s="77">
        <f t="shared" si="39"/>
        <v>-3.1082890927791595E-10</v>
      </c>
      <c r="Q211" s="24">
        <f t="shared" si="35"/>
        <v>0</v>
      </c>
      <c r="R211" s="77">
        <f t="shared" si="40"/>
        <v>0</v>
      </c>
      <c r="S211" s="19">
        <f t="shared" si="36"/>
        <v>0</v>
      </c>
      <c r="T211" s="77">
        <f t="shared" si="37"/>
        <v>-8.2887709140777588E-8</v>
      </c>
      <c r="U211" s="19">
        <f t="shared" si="41"/>
        <v>0</v>
      </c>
    </row>
    <row r="212" spans="13:21" x14ac:dyDescent="0.3">
      <c r="M212" s="19">
        <v>209</v>
      </c>
      <c r="N212" s="76">
        <f t="shared" si="34"/>
        <v>50557</v>
      </c>
      <c r="O212" s="77">
        <f t="shared" si="38"/>
        <v>0</v>
      </c>
      <c r="P212" s="77">
        <f t="shared" si="39"/>
        <v>-3.1082890927791595E-10</v>
      </c>
      <c r="Q212" s="24">
        <f t="shared" si="35"/>
        <v>0</v>
      </c>
      <c r="R212" s="77">
        <f t="shared" si="40"/>
        <v>0</v>
      </c>
      <c r="S212" s="19">
        <f t="shared" si="36"/>
        <v>0</v>
      </c>
      <c r="T212" s="77">
        <f t="shared" si="37"/>
        <v>-8.2887709140777588E-8</v>
      </c>
      <c r="U212" s="19">
        <f t="shared" si="41"/>
        <v>0</v>
      </c>
    </row>
    <row r="213" spans="13:21" x14ac:dyDescent="0.3">
      <c r="M213" s="20">
        <v>210</v>
      </c>
      <c r="N213" s="76">
        <f t="shared" si="34"/>
        <v>50587</v>
      </c>
      <c r="O213" s="77">
        <f t="shared" si="38"/>
        <v>0</v>
      </c>
      <c r="P213" s="77">
        <f t="shared" si="39"/>
        <v>-3.1082890927791595E-10</v>
      </c>
      <c r="Q213" s="24">
        <f t="shared" si="35"/>
        <v>0</v>
      </c>
      <c r="R213" s="77">
        <f t="shared" si="40"/>
        <v>0</v>
      </c>
      <c r="S213" s="19">
        <f t="shared" si="36"/>
        <v>0</v>
      </c>
      <c r="T213" s="77">
        <f t="shared" si="37"/>
        <v>-8.2887709140777588E-8</v>
      </c>
      <c r="U213" s="19">
        <f t="shared" si="41"/>
        <v>0</v>
      </c>
    </row>
    <row r="214" spans="13:21" x14ac:dyDescent="0.3">
      <c r="M214" s="19">
        <v>211</v>
      </c>
      <c r="N214" s="76">
        <f t="shared" si="34"/>
        <v>50618</v>
      </c>
      <c r="O214" s="77">
        <f t="shared" si="38"/>
        <v>0</v>
      </c>
      <c r="P214" s="77">
        <f t="shared" si="39"/>
        <v>-3.1082890927791595E-10</v>
      </c>
      <c r="Q214" s="24">
        <f t="shared" si="35"/>
        <v>0</v>
      </c>
      <c r="R214" s="77">
        <f t="shared" si="40"/>
        <v>0</v>
      </c>
      <c r="S214" s="19">
        <f t="shared" si="36"/>
        <v>0</v>
      </c>
      <c r="T214" s="77">
        <f t="shared" si="37"/>
        <v>-8.2887709140777588E-8</v>
      </c>
      <c r="U214" s="19">
        <f t="shared" si="41"/>
        <v>0</v>
      </c>
    </row>
    <row r="215" spans="13:21" x14ac:dyDescent="0.3">
      <c r="M215" s="20">
        <v>212</v>
      </c>
      <c r="N215" s="76">
        <f t="shared" si="34"/>
        <v>50649</v>
      </c>
      <c r="O215" s="77">
        <f t="shared" si="38"/>
        <v>0</v>
      </c>
      <c r="P215" s="77">
        <f t="shared" si="39"/>
        <v>-3.1082890927791595E-10</v>
      </c>
      <c r="Q215" s="24">
        <f t="shared" si="35"/>
        <v>0</v>
      </c>
      <c r="R215" s="77">
        <f t="shared" si="40"/>
        <v>0</v>
      </c>
      <c r="S215" s="19">
        <f t="shared" si="36"/>
        <v>0</v>
      </c>
      <c r="T215" s="77">
        <f t="shared" si="37"/>
        <v>-8.2887709140777588E-8</v>
      </c>
      <c r="U215" s="19">
        <f t="shared" si="41"/>
        <v>0</v>
      </c>
    </row>
    <row r="216" spans="13:21" x14ac:dyDescent="0.3">
      <c r="M216" s="19">
        <v>213</v>
      </c>
      <c r="N216" s="76">
        <f t="shared" si="34"/>
        <v>50679</v>
      </c>
      <c r="O216" s="77">
        <f t="shared" si="38"/>
        <v>0</v>
      </c>
      <c r="P216" s="77">
        <f t="shared" si="39"/>
        <v>-3.1082890927791595E-10</v>
      </c>
      <c r="Q216" s="24">
        <f t="shared" si="35"/>
        <v>0</v>
      </c>
      <c r="R216" s="77">
        <f t="shared" si="40"/>
        <v>0</v>
      </c>
      <c r="S216" s="19">
        <f t="shared" si="36"/>
        <v>0</v>
      </c>
      <c r="T216" s="77">
        <f t="shared" si="37"/>
        <v>-8.2887709140777588E-8</v>
      </c>
      <c r="U216" s="19">
        <f t="shared" si="41"/>
        <v>0</v>
      </c>
    </row>
    <row r="217" spans="13:21" x14ac:dyDescent="0.3">
      <c r="M217" s="20">
        <v>214</v>
      </c>
      <c r="N217" s="76">
        <f t="shared" si="34"/>
        <v>50710</v>
      </c>
      <c r="O217" s="77">
        <f t="shared" si="38"/>
        <v>0</v>
      </c>
      <c r="P217" s="77">
        <f t="shared" si="39"/>
        <v>-3.1082890927791595E-10</v>
      </c>
      <c r="Q217" s="24">
        <f t="shared" si="35"/>
        <v>0</v>
      </c>
      <c r="R217" s="77">
        <f t="shared" si="40"/>
        <v>0</v>
      </c>
      <c r="S217" s="19">
        <f t="shared" si="36"/>
        <v>0</v>
      </c>
      <c r="T217" s="77">
        <f t="shared" si="37"/>
        <v>-8.2887709140777588E-8</v>
      </c>
      <c r="U217" s="19">
        <f t="shared" si="41"/>
        <v>0</v>
      </c>
    </row>
    <row r="218" spans="13:21" x14ac:dyDescent="0.3">
      <c r="M218" s="19">
        <v>215</v>
      </c>
      <c r="N218" s="76">
        <f t="shared" si="34"/>
        <v>50740</v>
      </c>
      <c r="O218" s="77">
        <f t="shared" si="38"/>
        <v>0</v>
      </c>
      <c r="P218" s="77">
        <f t="shared" si="39"/>
        <v>-3.1082890927791595E-10</v>
      </c>
      <c r="Q218" s="24">
        <f t="shared" si="35"/>
        <v>0</v>
      </c>
      <c r="R218" s="77">
        <f t="shared" si="40"/>
        <v>0</v>
      </c>
      <c r="S218" s="19">
        <f t="shared" si="36"/>
        <v>0</v>
      </c>
      <c r="T218" s="77">
        <f t="shared" si="37"/>
        <v>-8.2887709140777588E-8</v>
      </c>
      <c r="U218" s="19">
        <f t="shared" si="41"/>
        <v>0</v>
      </c>
    </row>
    <row r="219" spans="13:21" x14ac:dyDescent="0.3">
      <c r="M219" s="20">
        <v>216</v>
      </c>
      <c r="N219" s="76">
        <f t="shared" si="34"/>
        <v>50771</v>
      </c>
      <c r="O219" s="77">
        <f t="shared" si="38"/>
        <v>0</v>
      </c>
      <c r="P219" s="77">
        <f t="shared" si="39"/>
        <v>-3.1082890927791595E-10</v>
      </c>
      <c r="Q219" s="24">
        <f t="shared" si="35"/>
        <v>0</v>
      </c>
      <c r="R219" s="77">
        <f t="shared" si="40"/>
        <v>0</v>
      </c>
      <c r="S219" s="19">
        <f t="shared" si="36"/>
        <v>0</v>
      </c>
      <c r="T219" s="77">
        <f t="shared" si="37"/>
        <v>-8.2887709140777588E-8</v>
      </c>
      <c r="U219" s="19">
        <f t="shared" si="41"/>
        <v>0</v>
      </c>
    </row>
    <row r="220" spans="13:21" x14ac:dyDescent="0.3">
      <c r="M220" s="19">
        <v>217</v>
      </c>
      <c r="N220" s="76">
        <f t="shared" si="34"/>
        <v>50802</v>
      </c>
      <c r="O220" s="77">
        <f t="shared" si="38"/>
        <v>0</v>
      </c>
      <c r="P220" s="77">
        <f t="shared" si="39"/>
        <v>-3.1082890927791595E-10</v>
      </c>
      <c r="Q220" s="24">
        <f t="shared" si="35"/>
        <v>0</v>
      </c>
      <c r="R220" s="77">
        <f t="shared" si="40"/>
        <v>0</v>
      </c>
      <c r="S220" s="19">
        <f t="shared" si="36"/>
        <v>0</v>
      </c>
      <c r="T220" s="77">
        <f t="shared" si="37"/>
        <v>-8.2887709140777588E-8</v>
      </c>
      <c r="U220" s="19">
        <f t="shared" si="41"/>
        <v>0</v>
      </c>
    </row>
    <row r="221" spans="13:21" x14ac:dyDescent="0.3">
      <c r="M221" s="20">
        <v>218</v>
      </c>
      <c r="N221" s="76">
        <f t="shared" si="34"/>
        <v>50830</v>
      </c>
      <c r="O221" s="77">
        <f t="shared" si="38"/>
        <v>0</v>
      </c>
      <c r="P221" s="77">
        <f t="shared" si="39"/>
        <v>-3.1082890927791595E-10</v>
      </c>
      <c r="Q221" s="24">
        <f t="shared" si="35"/>
        <v>0</v>
      </c>
      <c r="R221" s="77">
        <f t="shared" si="40"/>
        <v>0</v>
      </c>
      <c r="S221" s="19">
        <f t="shared" si="36"/>
        <v>0</v>
      </c>
      <c r="T221" s="77">
        <f t="shared" si="37"/>
        <v>-8.2887709140777588E-8</v>
      </c>
      <c r="U221" s="19">
        <f t="shared" si="41"/>
        <v>0</v>
      </c>
    </row>
    <row r="222" spans="13:21" x14ac:dyDescent="0.3">
      <c r="M222" s="19">
        <v>219</v>
      </c>
      <c r="N222" s="76">
        <f t="shared" si="34"/>
        <v>50861</v>
      </c>
      <c r="O222" s="77">
        <f t="shared" si="38"/>
        <v>0</v>
      </c>
      <c r="P222" s="77">
        <f t="shared" si="39"/>
        <v>-3.1082890927791595E-10</v>
      </c>
      <c r="Q222" s="24">
        <f t="shared" si="35"/>
        <v>0</v>
      </c>
      <c r="R222" s="77">
        <f t="shared" si="40"/>
        <v>0</v>
      </c>
      <c r="S222" s="19">
        <f t="shared" si="36"/>
        <v>0</v>
      </c>
      <c r="T222" s="77">
        <f t="shared" si="37"/>
        <v>-8.2887709140777588E-8</v>
      </c>
      <c r="U222" s="19">
        <f t="shared" si="41"/>
        <v>0</v>
      </c>
    </row>
    <row r="223" spans="13:21" x14ac:dyDescent="0.3">
      <c r="M223" s="20">
        <v>220</v>
      </c>
      <c r="N223" s="76">
        <f t="shared" si="34"/>
        <v>50891</v>
      </c>
      <c r="O223" s="77">
        <f t="shared" si="38"/>
        <v>0</v>
      </c>
      <c r="P223" s="77">
        <f t="shared" si="39"/>
        <v>-3.1082890927791595E-10</v>
      </c>
      <c r="Q223" s="24">
        <f t="shared" si="35"/>
        <v>0</v>
      </c>
      <c r="R223" s="77">
        <f t="shared" si="40"/>
        <v>0</v>
      </c>
      <c r="S223" s="19">
        <f t="shared" si="36"/>
        <v>0</v>
      </c>
      <c r="T223" s="77">
        <f t="shared" si="37"/>
        <v>-8.2887709140777588E-8</v>
      </c>
      <c r="U223" s="19">
        <f t="shared" si="41"/>
        <v>0</v>
      </c>
    </row>
    <row r="224" spans="13:21" x14ac:dyDescent="0.3">
      <c r="M224" s="19">
        <v>221</v>
      </c>
      <c r="N224" s="76">
        <f t="shared" si="34"/>
        <v>50922</v>
      </c>
      <c r="O224" s="77">
        <f t="shared" si="38"/>
        <v>0</v>
      </c>
      <c r="P224" s="77">
        <f t="shared" si="39"/>
        <v>-3.1082890927791595E-10</v>
      </c>
      <c r="Q224" s="24">
        <f t="shared" si="35"/>
        <v>0</v>
      </c>
      <c r="R224" s="77">
        <f t="shared" si="40"/>
        <v>0</v>
      </c>
      <c r="S224" s="19">
        <f t="shared" si="36"/>
        <v>0</v>
      </c>
      <c r="T224" s="77">
        <f t="shared" si="37"/>
        <v>-8.2887709140777588E-8</v>
      </c>
      <c r="U224" s="19">
        <f t="shared" si="41"/>
        <v>0</v>
      </c>
    </row>
    <row r="225" spans="13:21" x14ac:dyDescent="0.3">
      <c r="M225" s="20">
        <v>222</v>
      </c>
      <c r="N225" s="76">
        <f t="shared" si="34"/>
        <v>50952</v>
      </c>
      <c r="O225" s="77">
        <f t="shared" si="38"/>
        <v>0</v>
      </c>
      <c r="P225" s="77">
        <f t="shared" si="39"/>
        <v>-3.1082890927791595E-10</v>
      </c>
      <c r="Q225" s="24">
        <f t="shared" si="35"/>
        <v>0</v>
      </c>
      <c r="R225" s="77">
        <f t="shared" si="40"/>
        <v>0</v>
      </c>
      <c r="S225" s="19">
        <f t="shared" si="36"/>
        <v>0</v>
      </c>
      <c r="T225" s="77">
        <f t="shared" si="37"/>
        <v>-8.2887709140777588E-8</v>
      </c>
      <c r="U225" s="19">
        <f t="shared" si="41"/>
        <v>0</v>
      </c>
    </row>
    <row r="226" spans="13:21" x14ac:dyDescent="0.3">
      <c r="M226" s="19">
        <v>223</v>
      </c>
      <c r="N226" s="76">
        <f t="shared" si="34"/>
        <v>50983</v>
      </c>
      <c r="O226" s="77">
        <f t="shared" si="38"/>
        <v>0</v>
      </c>
      <c r="P226" s="77">
        <f t="shared" si="39"/>
        <v>-3.1082890927791595E-10</v>
      </c>
      <c r="Q226" s="24">
        <f t="shared" si="35"/>
        <v>0</v>
      </c>
      <c r="R226" s="77">
        <f t="shared" si="40"/>
        <v>0</v>
      </c>
      <c r="S226" s="19">
        <f t="shared" si="36"/>
        <v>0</v>
      </c>
      <c r="T226" s="77">
        <f t="shared" si="37"/>
        <v>-8.2887709140777588E-8</v>
      </c>
      <c r="U226" s="19">
        <f t="shared" si="41"/>
        <v>0</v>
      </c>
    </row>
    <row r="227" spans="13:21" x14ac:dyDescent="0.3">
      <c r="M227" s="20">
        <v>224</v>
      </c>
      <c r="N227" s="76">
        <f t="shared" si="34"/>
        <v>51014</v>
      </c>
      <c r="O227" s="77">
        <f t="shared" si="38"/>
        <v>0</v>
      </c>
      <c r="P227" s="77">
        <f t="shared" si="39"/>
        <v>-3.1082890927791595E-10</v>
      </c>
      <c r="Q227" s="24">
        <f t="shared" si="35"/>
        <v>0</v>
      </c>
      <c r="R227" s="77">
        <f t="shared" si="40"/>
        <v>0</v>
      </c>
      <c r="S227" s="19">
        <f t="shared" si="36"/>
        <v>0</v>
      </c>
      <c r="T227" s="77">
        <f t="shared" si="37"/>
        <v>-8.2887709140777588E-8</v>
      </c>
      <c r="U227" s="19">
        <f t="shared" si="41"/>
        <v>0</v>
      </c>
    </row>
    <row r="228" spans="13:21" x14ac:dyDescent="0.3">
      <c r="M228" s="19">
        <v>225</v>
      </c>
      <c r="N228" s="76">
        <f t="shared" si="34"/>
        <v>51044</v>
      </c>
      <c r="O228" s="77">
        <f t="shared" si="38"/>
        <v>0</v>
      </c>
      <c r="P228" s="77">
        <f t="shared" si="39"/>
        <v>-3.1082890927791595E-10</v>
      </c>
      <c r="Q228" s="24">
        <f t="shared" si="35"/>
        <v>0</v>
      </c>
      <c r="R228" s="77">
        <f t="shared" si="40"/>
        <v>0</v>
      </c>
      <c r="S228" s="19">
        <f t="shared" si="36"/>
        <v>0</v>
      </c>
      <c r="T228" s="77">
        <f t="shared" si="37"/>
        <v>-8.2887709140777588E-8</v>
      </c>
      <c r="U228" s="19">
        <f t="shared" si="41"/>
        <v>0</v>
      </c>
    </row>
    <row r="229" spans="13:21" x14ac:dyDescent="0.3">
      <c r="M229" s="20">
        <v>226</v>
      </c>
      <c r="N229" s="76">
        <f t="shared" si="34"/>
        <v>51075</v>
      </c>
      <c r="O229" s="77">
        <f t="shared" si="38"/>
        <v>0</v>
      </c>
      <c r="P229" s="77">
        <f t="shared" si="39"/>
        <v>-3.1082890927791595E-10</v>
      </c>
      <c r="Q229" s="24">
        <f t="shared" si="35"/>
        <v>0</v>
      </c>
      <c r="R229" s="77">
        <f t="shared" si="40"/>
        <v>0</v>
      </c>
      <c r="S229" s="19">
        <f t="shared" si="36"/>
        <v>0</v>
      </c>
      <c r="T229" s="77">
        <f t="shared" si="37"/>
        <v>-8.2887709140777588E-8</v>
      </c>
      <c r="U229" s="19">
        <f t="shared" si="41"/>
        <v>0</v>
      </c>
    </row>
    <row r="230" spans="13:21" x14ac:dyDescent="0.3">
      <c r="M230" s="19">
        <v>227</v>
      </c>
      <c r="N230" s="76">
        <f t="shared" si="34"/>
        <v>51105</v>
      </c>
      <c r="O230" s="77">
        <f t="shared" si="38"/>
        <v>0</v>
      </c>
      <c r="P230" s="77">
        <f t="shared" si="39"/>
        <v>-3.1082890927791595E-10</v>
      </c>
      <c r="Q230" s="24">
        <f t="shared" si="35"/>
        <v>0</v>
      </c>
      <c r="R230" s="77">
        <f t="shared" si="40"/>
        <v>0</v>
      </c>
      <c r="S230" s="19">
        <f t="shared" si="36"/>
        <v>0</v>
      </c>
      <c r="T230" s="77">
        <f t="shared" si="37"/>
        <v>-8.2887709140777588E-8</v>
      </c>
      <c r="U230" s="19">
        <f t="shared" si="41"/>
        <v>0</v>
      </c>
    </row>
    <row r="231" spans="13:21" x14ac:dyDescent="0.3">
      <c r="M231" s="20">
        <v>228</v>
      </c>
      <c r="N231" s="76">
        <f t="shared" si="34"/>
        <v>51136</v>
      </c>
      <c r="O231" s="77">
        <f t="shared" si="38"/>
        <v>0</v>
      </c>
      <c r="P231" s="77">
        <f t="shared" si="39"/>
        <v>-3.1082890927791595E-10</v>
      </c>
      <c r="Q231" s="24">
        <f t="shared" si="35"/>
        <v>0</v>
      </c>
      <c r="R231" s="77">
        <f t="shared" si="40"/>
        <v>0</v>
      </c>
      <c r="S231" s="19">
        <f t="shared" si="36"/>
        <v>0</v>
      </c>
      <c r="T231" s="77">
        <f t="shared" si="37"/>
        <v>-8.2887709140777588E-8</v>
      </c>
      <c r="U231" s="19">
        <f t="shared" si="41"/>
        <v>0</v>
      </c>
    </row>
    <row r="232" spans="13:21" x14ac:dyDescent="0.3">
      <c r="M232" s="19">
        <v>229</v>
      </c>
      <c r="N232" s="76">
        <f t="shared" si="34"/>
        <v>51167</v>
      </c>
      <c r="O232" s="77">
        <f t="shared" si="38"/>
        <v>0</v>
      </c>
      <c r="P232" s="77">
        <f t="shared" si="39"/>
        <v>-3.1082890927791595E-10</v>
      </c>
      <c r="Q232" s="24">
        <f t="shared" si="35"/>
        <v>0</v>
      </c>
      <c r="R232" s="77">
        <f t="shared" si="40"/>
        <v>0</v>
      </c>
      <c r="S232" s="19">
        <f t="shared" si="36"/>
        <v>0</v>
      </c>
      <c r="T232" s="77">
        <f t="shared" si="37"/>
        <v>-8.2887709140777588E-8</v>
      </c>
      <c r="U232" s="19">
        <f t="shared" si="41"/>
        <v>0</v>
      </c>
    </row>
    <row r="233" spans="13:21" x14ac:dyDescent="0.3">
      <c r="M233" s="20">
        <v>230</v>
      </c>
      <c r="N233" s="76">
        <f t="shared" si="34"/>
        <v>51196</v>
      </c>
      <c r="O233" s="77">
        <f t="shared" si="38"/>
        <v>0</v>
      </c>
      <c r="P233" s="77">
        <f t="shared" si="39"/>
        <v>-3.1082890927791595E-10</v>
      </c>
      <c r="Q233" s="24">
        <f t="shared" si="35"/>
        <v>0</v>
      </c>
      <c r="R233" s="77">
        <f t="shared" si="40"/>
        <v>0</v>
      </c>
      <c r="S233" s="19">
        <f t="shared" si="36"/>
        <v>0</v>
      </c>
      <c r="T233" s="77">
        <f t="shared" si="37"/>
        <v>-8.2887709140777588E-8</v>
      </c>
      <c r="U233" s="19">
        <f t="shared" si="41"/>
        <v>0</v>
      </c>
    </row>
    <row r="234" spans="13:21" x14ac:dyDescent="0.3">
      <c r="M234" s="19">
        <v>231</v>
      </c>
      <c r="N234" s="76">
        <f t="shared" si="34"/>
        <v>51227</v>
      </c>
      <c r="O234" s="77">
        <f t="shared" si="38"/>
        <v>0</v>
      </c>
      <c r="P234" s="77">
        <f t="shared" si="39"/>
        <v>-3.1082890927791595E-10</v>
      </c>
      <c r="Q234" s="24">
        <f t="shared" si="35"/>
        <v>0</v>
      </c>
      <c r="R234" s="77">
        <f t="shared" si="40"/>
        <v>0</v>
      </c>
      <c r="S234" s="19">
        <f t="shared" si="36"/>
        <v>0</v>
      </c>
      <c r="T234" s="77">
        <f t="shared" si="37"/>
        <v>-8.2887709140777588E-8</v>
      </c>
      <c r="U234" s="19">
        <f t="shared" si="41"/>
        <v>0</v>
      </c>
    </row>
    <row r="235" spans="13:21" x14ac:dyDescent="0.3">
      <c r="M235" s="20">
        <v>232</v>
      </c>
      <c r="N235" s="76">
        <f t="shared" si="34"/>
        <v>51257</v>
      </c>
      <c r="O235" s="77">
        <f t="shared" si="38"/>
        <v>0</v>
      </c>
      <c r="P235" s="77">
        <f t="shared" si="39"/>
        <v>-3.1082890927791595E-10</v>
      </c>
      <c r="Q235" s="24">
        <f t="shared" si="35"/>
        <v>0</v>
      </c>
      <c r="R235" s="77">
        <f t="shared" si="40"/>
        <v>0</v>
      </c>
      <c r="S235" s="19">
        <f t="shared" si="36"/>
        <v>0</v>
      </c>
      <c r="T235" s="77">
        <f t="shared" si="37"/>
        <v>-8.2887709140777588E-8</v>
      </c>
      <c r="U235" s="19">
        <f t="shared" si="41"/>
        <v>0</v>
      </c>
    </row>
    <row r="236" spans="13:21" x14ac:dyDescent="0.3">
      <c r="M236" s="19">
        <v>233</v>
      </c>
      <c r="N236" s="76">
        <f t="shared" si="34"/>
        <v>51288</v>
      </c>
      <c r="O236" s="77">
        <f t="shared" si="38"/>
        <v>0</v>
      </c>
      <c r="P236" s="77">
        <f t="shared" si="39"/>
        <v>-3.1082890927791595E-10</v>
      </c>
      <c r="Q236" s="24">
        <f t="shared" si="35"/>
        <v>0</v>
      </c>
      <c r="R236" s="77">
        <f t="shared" si="40"/>
        <v>0</v>
      </c>
      <c r="S236" s="19">
        <f t="shared" si="36"/>
        <v>0</v>
      </c>
      <c r="T236" s="77">
        <f t="shared" si="37"/>
        <v>-8.2887709140777588E-8</v>
      </c>
      <c r="U236" s="19">
        <f t="shared" si="41"/>
        <v>0</v>
      </c>
    </row>
    <row r="237" spans="13:21" x14ac:dyDescent="0.3">
      <c r="M237" s="20">
        <v>234</v>
      </c>
      <c r="N237" s="76">
        <f t="shared" si="34"/>
        <v>51318</v>
      </c>
      <c r="O237" s="77">
        <f t="shared" si="38"/>
        <v>0</v>
      </c>
      <c r="P237" s="77">
        <f t="shared" si="39"/>
        <v>-3.1082890927791595E-10</v>
      </c>
      <c r="Q237" s="24">
        <f t="shared" si="35"/>
        <v>0</v>
      </c>
      <c r="R237" s="77">
        <f t="shared" si="40"/>
        <v>0</v>
      </c>
      <c r="S237" s="19">
        <f t="shared" si="36"/>
        <v>0</v>
      </c>
      <c r="T237" s="77">
        <f t="shared" si="37"/>
        <v>-8.2887709140777588E-8</v>
      </c>
      <c r="U237" s="19">
        <f t="shared" si="41"/>
        <v>0</v>
      </c>
    </row>
    <row r="238" spans="13:21" x14ac:dyDescent="0.3">
      <c r="M238" s="19">
        <v>235</v>
      </c>
      <c r="N238" s="76">
        <f t="shared" si="34"/>
        <v>51349</v>
      </c>
      <c r="O238" s="77">
        <f t="shared" si="38"/>
        <v>0</v>
      </c>
      <c r="P238" s="77">
        <f t="shared" si="39"/>
        <v>-3.1082890927791595E-10</v>
      </c>
      <c r="Q238" s="24">
        <f t="shared" si="35"/>
        <v>0</v>
      </c>
      <c r="R238" s="77">
        <f t="shared" si="40"/>
        <v>0</v>
      </c>
      <c r="S238" s="19">
        <f t="shared" si="36"/>
        <v>0</v>
      </c>
      <c r="T238" s="77">
        <f t="shared" si="37"/>
        <v>-8.2887709140777588E-8</v>
      </c>
      <c r="U238" s="19">
        <f t="shared" si="41"/>
        <v>0</v>
      </c>
    </row>
    <row r="239" spans="13:21" x14ac:dyDescent="0.3">
      <c r="M239" s="20">
        <v>236</v>
      </c>
      <c r="N239" s="76">
        <f t="shared" si="34"/>
        <v>51380</v>
      </c>
      <c r="O239" s="77">
        <f t="shared" si="38"/>
        <v>0</v>
      </c>
      <c r="P239" s="77">
        <f t="shared" si="39"/>
        <v>-3.1082890927791595E-10</v>
      </c>
      <c r="Q239" s="24">
        <f t="shared" si="35"/>
        <v>0</v>
      </c>
      <c r="R239" s="77">
        <f t="shared" si="40"/>
        <v>0</v>
      </c>
      <c r="S239" s="19">
        <f t="shared" si="36"/>
        <v>0</v>
      </c>
      <c r="T239" s="77">
        <f t="shared" si="37"/>
        <v>-8.2887709140777588E-8</v>
      </c>
      <c r="U239" s="19">
        <f t="shared" si="41"/>
        <v>0</v>
      </c>
    </row>
    <row r="240" spans="13:21" x14ac:dyDescent="0.3">
      <c r="M240" s="19">
        <v>237</v>
      </c>
      <c r="N240" s="76">
        <f t="shared" si="34"/>
        <v>51410</v>
      </c>
      <c r="O240" s="77">
        <f t="shared" si="38"/>
        <v>0</v>
      </c>
      <c r="P240" s="77">
        <f t="shared" si="39"/>
        <v>-3.1082890927791595E-10</v>
      </c>
      <c r="Q240" s="24">
        <f t="shared" si="35"/>
        <v>0</v>
      </c>
      <c r="R240" s="77">
        <f t="shared" si="40"/>
        <v>0</v>
      </c>
      <c r="S240" s="19">
        <f t="shared" si="36"/>
        <v>0</v>
      </c>
      <c r="T240" s="77">
        <f t="shared" si="37"/>
        <v>-8.2887709140777588E-8</v>
      </c>
      <c r="U240" s="19">
        <f t="shared" si="41"/>
        <v>0</v>
      </c>
    </row>
    <row r="241" spans="13:21" x14ac:dyDescent="0.3">
      <c r="M241" s="20">
        <v>238</v>
      </c>
      <c r="N241" s="76">
        <f t="shared" si="34"/>
        <v>51441</v>
      </c>
      <c r="O241" s="77">
        <f t="shared" si="38"/>
        <v>0</v>
      </c>
      <c r="P241" s="77">
        <f t="shared" si="39"/>
        <v>-3.1082890927791595E-10</v>
      </c>
      <c r="Q241" s="24">
        <f t="shared" si="35"/>
        <v>0</v>
      </c>
      <c r="R241" s="77">
        <f t="shared" si="40"/>
        <v>0</v>
      </c>
      <c r="S241" s="19">
        <f t="shared" si="36"/>
        <v>0</v>
      </c>
      <c r="T241" s="77">
        <f t="shared" si="37"/>
        <v>-8.2887709140777588E-8</v>
      </c>
      <c r="U241" s="19">
        <f t="shared" si="41"/>
        <v>0</v>
      </c>
    </row>
    <row r="242" spans="13:21" x14ac:dyDescent="0.3">
      <c r="M242" s="19">
        <v>239</v>
      </c>
      <c r="N242" s="76">
        <f t="shared" si="34"/>
        <v>51471</v>
      </c>
      <c r="O242" s="77">
        <f t="shared" si="38"/>
        <v>0</v>
      </c>
      <c r="P242" s="77">
        <f t="shared" si="39"/>
        <v>-3.1082890927791595E-10</v>
      </c>
      <c r="Q242" s="24">
        <f t="shared" si="35"/>
        <v>0</v>
      </c>
      <c r="R242" s="77">
        <f t="shared" si="40"/>
        <v>0</v>
      </c>
      <c r="S242" s="19">
        <f t="shared" si="36"/>
        <v>0</v>
      </c>
      <c r="T242" s="77">
        <f t="shared" si="37"/>
        <v>-8.2887709140777588E-8</v>
      </c>
      <c r="U242" s="19">
        <f t="shared" si="41"/>
        <v>0</v>
      </c>
    </row>
    <row r="243" spans="13:21" x14ac:dyDescent="0.3">
      <c r="M243" s="20">
        <v>240</v>
      </c>
      <c r="N243" s="76">
        <f t="shared" si="34"/>
        <v>51502</v>
      </c>
      <c r="O243" s="77">
        <f t="shared" si="38"/>
        <v>0</v>
      </c>
      <c r="P243" s="77">
        <f t="shared" si="39"/>
        <v>-3.1082890927791595E-10</v>
      </c>
      <c r="Q243" s="24">
        <f t="shared" si="35"/>
        <v>0</v>
      </c>
      <c r="R243" s="77">
        <f t="shared" si="40"/>
        <v>0</v>
      </c>
      <c r="S243" s="19">
        <f t="shared" si="36"/>
        <v>0</v>
      </c>
      <c r="T243" s="77">
        <f t="shared" si="37"/>
        <v>-8.2887709140777588E-8</v>
      </c>
      <c r="U243" s="19">
        <f t="shared" si="41"/>
        <v>0</v>
      </c>
    </row>
  </sheetData>
  <mergeCells count="8">
    <mergeCell ref="AB1:AE1"/>
    <mergeCell ref="A25:G25"/>
    <mergeCell ref="A24:G24"/>
    <mergeCell ref="A1:W1"/>
    <mergeCell ref="V3:W3"/>
    <mergeCell ref="V9:W9"/>
    <mergeCell ref="V13:W13"/>
    <mergeCell ref="V18:W18"/>
  </mergeCells>
  <phoneticPr fontId="4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8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P26"/>
  <sheetViews>
    <sheetView view="pageBreakPreview" topLeftCell="A7" zoomScale="115" zoomScaleNormal="100" zoomScaleSheetLayoutView="115" workbookViewId="0">
      <selection activeCell="G19" sqref="G19"/>
    </sheetView>
  </sheetViews>
  <sheetFormatPr defaultRowHeight="16.5" x14ac:dyDescent="0.3"/>
  <cols>
    <col min="1" max="1" width="11.625" bestFit="1" customWidth="1"/>
    <col min="2" max="2" width="29.125" bestFit="1" customWidth="1"/>
    <col min="3" max="3" width="8.625" bestFit="1" customWidth="1"/>
    <col min="4" max="6" width="5.875" bestFit="1" customWidth="1"/>
    <col min="7" max="7" width="26.125" customWidth="1"/>
    <col min="8" max="8" width="21.625" customWidth="1"/>
    <col min="10" max="10" width="8.875" bestFit="1" customWidth="1"/>
    <col min="11" max="11" width="5.5" bestFit="1" customWidth="1"/>
    <col min="12" max="12" width="7.5" bestFit="1" customWidth="1"/>
    <col min="13" max="13" width="8.875" bestFit="1" customWidth="1"/>
    <col min="14" max="14" width="6.375" customWidth="1"/>
    <col min="15" max="16" width="4.5" bestFit="1" customWidth="1"/>
    <col min="17" max="17" width="10.5" bestFit="1" customWidth="1"/>
  </cols>
  <sheetData>
    <row r="1" spans="1:16" ht="40.5" customHeight="1" x14ac:dyDescent="0.3">
      <c r="A1" s="231" t="s">
        <v>72</v>
      </c>
      <c r="B1" s="231"/>
      <c r="C1" s="231"/>
      <c r="D1" s="231"/>
      <c r="E1" s="231"/>
      <c r="F1" s="231"/>
      <c r="G1" s="231"/>
      <c r="H1" s="231"/>
    </row>
    <row r="2" spans="1:16" ht="18" customHeight="1" x14ac:dyDescent="0.3">
      <c r="A2" s="98"/>
      <c r="B2" s="98"/>
      <c r="C2" s="98"/>
      <c r="D2" s="98"/>
      <c r="E2" s="98"/>
      <c r="F2" s="98"/>
      <c r="G2" s="98"/>
      <c r="H2" s="98"/>
    </row>
    <row r="3" spans="1:16" x14ac:dyDescent="0.3">
      <c r="A3" s="232" t="s">
        <v>97</v>
      </c>
      <c r="B3" s="233"/>
      <c r="C3" s="235" t="s">
        <v>73</v>
      </c>
      <c r="E3" s="237" t="s">
        <v>109</v>
      </c>
      <c r="F3" s="237"/>
      <c r="G3" s="237"/>
      <c r="H3" s="237"/>
    </row>
    <row r="4" spans="1:16" x14ac:dyDescent="0.3">
      <c r="A4" s="234"/>
      <c r="B4" s="234"/>
      <c r="C4" s="236"/>
      <c r="D4" s="99"/>
      <c r="E4" s="237"/>
      <c r="F4" s="237"/>
      <c r="G4" s="237"/>
      <c r="H4" s="237"/>
    </row>
    <row r="5" spans="1:16" x14ac:dyDescent="0.3">
      <c r="A5" s="238" t="s">
        <v>105</v>
      </c>
      <c r="B5" s="238"/>
      <c r="C5" s="238"/>
      <c r="D5" s="100"/>
      <c r="E5" s="101"/>
      <c r="F5" s="239" t="s">
        <v>110</v>
      </c>
      <c r="G5" s="239"/>
      <c r="H5" s="239"/>
    </row>
    <row r="6" spans="1:16" x14ac:dyDescent="0.3">
      <c r="A6" s="238"/>
      <c r="B6" s="238"/>
      <c r="C6" s="238"/>
      <c r="D6" s="100"/>
      <c r="E6" s="101"/>
      <c r="F6" s="239" t="s">
        <v>112</v>
      </c>
      <c r="G6" s="239"/>
    </row>
    <row r="7" spans="1:16" x14ac:dyDescent="0.3">
      <c r="A7" s="238" t="s">
        <v>74</v>
      </c>
      <c r="B7" s="238"/>
      <c r="C7" s="238"/>
      <c r="D7" s="239"/>
      <c r="E7" s="101"/>
      <c r="F7" s="239" t="s">
        <v>111</v>
      </c>
      <c r="G7" s="239"/>
      <c r="H7" s="101"/>
    </row>
    <row r="8" spans="1:16" x14ac:dyDescent="0.3">
      <c r="A8" s="238"/>
      <c r="B8" s="238"/>
      <c r="C8" s="238"/>
      <c r="D8" s="239"/>
      <c r="E8" s="101"/>
      <c r="G8" s="101"/>
      <c r="H8" s="101"/>
    </row>
    <row r="9" spans="1:16" x14ac:dyDescent="0.3">
      <c r="A9" s="240" t="s">
        <v>75</v>
      </c>
      <c r="B9" s="241"/>
      <c r="C9" s="241"/>
      <c r="D9" s="101"/>
      <c r="E9" s="239"/>
      <c r="F9" s="104"/>
      <c r="G9" s="242" t="s">
        <v>76</v>
      </c>
      <c r="H9" s="248">
        <f ca="1">TODAY()</f>
        <v>46133</v>
      </c>
    </row>
    <row r="10" spans="1:16" x14ac:dyDescent="0.3">
      <c r="A10" s="241"/>
      <c r="B10" s="241"/>
      <c r="C10" s="241"/>
      <c r="D10" s="101"/>
      <c r="E10" s="239"/>
      <c r="F10" s="104"/>
      <c r="G10" s="243"/>
      <c r="H10" s="249"/>
    </row>
    <row r="11" spans="1:16" x14ac:dyDescent="0.3">
      <c r="A11" s="102"/>
      <c r="B11" s="102"/>
      <c r="C11" s="102"/>
      <c r="D11" s="101"/>
      <c r="F11" s="105"/>
      <c r="G11" s="106"/>
      <c r="H11" s="105"/>
    </row>
    <row r="12" spans="1:16" x14ac:dyDescent="0.3">
      <c r="A12" s="102"/>
      <c r="B12" s="102"/>
      <c r="C12" s="102"/>
      <c r="D12" s="101"/>
      <c r="E12" s="102"/>
      <c r="F12" s="107"/>
      <c r="G12" s="107"/>
    </row>
    <row r="13" spans="1:16" x14ac:dyDescent="0.3">
      <c r="A13" s="102"/>
      <c r="B13" s="102"/>
      <c r="C13" s="102"/>
      <c r="D13" s="101"/>
      <c r="E13" s="102"/>
      <c r="F13" s="107"/>
      <c r="G13" s="107"/>
    </row>
    <row r="14" spans="1:16" ht="17.25" thickBot="1" x14ac:dyDescent="0.35">
      <c r="A14" s="101"/>
      <c r="B14" s="101"/>
      <c r="C14" s="101"/>
      <c r="D14" s="101"/>
      <c r="E14" s="101"/>
      <c r="F14" s="101"/>
      <c r="G14" s="101"/>
      <c r="H14" s="108" t="s">
        <v>77</v>
      </c>
    </row>
    <row r="15" spans="1:16" ht="17.25" thickBot="1" x14ac:dyDescent="0.35">
      <c r="A15" s="103" t="s">
        <v>78</v>
      </c>
      <c r="B15" s="103" t="s">
        <v>79</v>
      </c>
      <c r="C15" s="103" t="s">
        <v>80</v>
      </c>
      <c r="D15" s="103" t="s">
        <v>81</v>
      </c>
      <c r="E15" s="103" t="s">
        <v>82</v>
      </c>
      <c r="F15" s="103" t="s">
        <v>83</v>
      </c>
      <c r="G15" s="103" t="s">
        <v>84</v>
      </c>
      <c r="H15" s="103" t="s">
        <v>85</v>
      </c>
      <c r="J15" s="244" t="s">
        <v>98</v>
      </c>
      <c r="K15" s="245"/>
    </row>
    <row r="16" spans="1:16" x14ac:dyDescent="0.3">
      <c r="A16" s="109">
        <v>1</v>
      </c>
      <c r="B16" s="110" t="str">
        <f>K23</f>
        <v>진코 620W 무등급 양면모듈</v>
      </c>
      <c r="C16" s="111"/>
      <c r="D16" s="111"/>
      <c r="E16" s="112">
        <f>$P$16</f>
        <v>250</v>
      </c>
      <c r="F16" s="112"/>
      <c r="G16" s="113">
        <f>Q16</f>
        <v>0</v>
      </c>
      <c r="H16" s="112"/>
      <c r="J16" s="131">
        <f>현물가1.5!$Z$4</f>
        <v>152</v>
      </c>
      <c r="K16" s="132">
        <v>1000</v>
      </c>
      <c r="L16" s="132">
        <f>PRODUCT(J16:K16)</f>
        <v>152000</v>
      </c>
      <c r="M16" s="132">
        <v>600</v>
      </c>
      <c r="N16" s="132">
        <f>L16/M16</f>
        <v>253.33333333333334</v>
      </c>
      <c r="O16" s="132">
        <f>ROUND(N16,-1)</f>
        <v>250</v>
      </c>
      <c r="P16" s="133">
        <f>ROUNDUP(O16,-1)</f>
        <v>250</v>
      </c>
    </row>
    <row r="17" spans="1:16" ht="17.25" thickBot="1" x14ac:dyDescent="0.35">
      <c r="A17" s="109">
        <v>2</v>
      </c>
      <c r="B17" s="110" t="s">
        <v>86</v>
      </c>
      <c r="C17" s="111"/>
      <c r="D17" s="111"/>
      <c r="E17" s="112">
        <f>M17</f>
        <v>4</v>
      </c>
      <c r="F17" s="112"/>
      <c r="G17" s="113">
        <v>0</v>
      </c>
      <c r="H17" s="112"/>
      <c r="J17" s="134">
        <f>현물가1.5!$Z$4</f>
        <v>152</v>
      </c>
      <c r="K17" s="135">
        <v>50</v>
      </c>
      <c r="L17" s="135">
        <f>J17/K17</f>
        <v>3.04</v>
      </c>
      <c r="M17" s="135">
        <f>ROUNDUP(L17,0)</f>
        <v>4</v>
      </c>
      <c r="N17" s="135"/>
      <c r="O17" s="135"/>
      <c r="P17" s="136"/>
    </row>
    <row r="18" spans="1:16" x14ac:dyDescent="0.3">
      <c r="A18" s="109"/>
      <c r="B18" s="111"/>
      <c r="C18" s="111"/>
      <c r="D18" s="111"/>
      <c r="E18" s="112"/>
      <c r="F18" s="112"/>
      <c r="G18" s="113"/>
      <c r="H18" s="112"/>
      <c r="J18" s="131"/>
      <c r="K18" s="132"/>
      <c r="L18" s="132"/>
      <c r="M18" s="132"/>
      <c r="N18" s="132"/>
      <c r="O18" s="132"/>
      <c r="P18" s="133"/>
    </row>
    <row r="19" spans="1:16" x14ac:dyDescent="0.3">
      <c r="A19" s="114"/>
      <c r="B19" s="250" t="s">
        <v>96</v>
      </c>
      <c r="C19" s="251"/>
      <c r="D19" s="251"/>
      <c r="E19" s="251"/>
      <c r="F19" s="252"/>
      <c r="G19" s="115">
        <f>현물가1.5!W10</f>
        <v>197600000</v>
      </c>
      <c r="H19" s="116"/>
      <c r="J19" s="142"/>
      <c r="P19" s="143"/>
    </row>
    <row r="20" spans="1:16" x14ac:dyDescent="0.3">
      <c r="A20" s="117" t="s">
        <v>87</v>
      </c>
      <c r="B20" s="118"/>
      <c r="C20" s="118"/>
      <c r="D20" s="118"/>
      <c r="E20" s="118"/>
      <c r="F20" s="118"/>
      <c r="G20" s="118"/>
      <c r="H20" s="119"/>
      <c r="J20" s="142" t="s">
        <v>101</v>
      </c>
      <c r="K20" s="257" t="s">
        <v>102</v>
      </c>
      <c r="L20" s="257"/>
      <c r="M20" s="257"/>
      <c r="N20" s="257"/>
      <c r="P20" s="143"/>
    </row>
    <row r="21" spans="1:16" x14ac:dyDescent="0.3">
      <c r="A21" s="120"/>
      <c r="B21" s="253" t="s">
        <v>88</v>
      </c>
      <c r="C21" s="253"/>
      <c r="D21" s="253"/>
      <c r="E21" s="253"/>
      <c r="F21" s="253"/>
      <c r="G21" s="253"/>
      <c r="H21" s="254"/>
      <c r="J21" s="142" t="s">
        <v>99</v>
      </c>
      <c r="K21" s="257" t="s">
        <v>103</v>
      </c>
      <c r="L21" s="257"/>
      <c r="M21" s="257"/>
      <c r="N21" s="257"/>
      <c r="P21" s="143"/>
    </row>
    <row r="22" spans="1:16" x14ac:dyDescent="0.3">
      <c r="A22" s="120"/>
      <c r="B22" s="255" t="s">
        <v>89</v>
      </c>
      <c r="C22" s="255"/>
      <c r="D22" s="255"/>
      <c r="E22" s="255"/>
      <c r="F22" s="255"/>
      <c r="G22" s="255"/>
      <c r="H22" s="256"/>
      <c r="J22" s="142"/>
      <c r="P22" s="143"/>
    </row>
    <row r="23" spans="1:16" x14ac:dyDescent="0.3">
      <c r="A23" s="120"/>
      <c r="B23" s="255" t="s">
        <v>90</v>
      </c>
      <c r="C23" s="255"/>
      <c r="D23" s="255"/>
      <c r="E23" s="255"/>
      <c r="F23" s="255"/>
      <c r="G23" s="255"/>
      <c r="H23" s="256"/>
      <c r="J23" s="142" t="str">
        <f>현물가1.5!Z1</f>
        <v>진코</v>
      </c>
      <c r="K23" s="257" t="str">
        <f>IF(J23=J21,K21,K20)</f>
        <v>진코 620W 무등급 양면모듈</v>
      </c>
      <c r="L23" s="257"/>
      <c r="M23" s="257"/>
      <c r="N23" s="257"/>
      <c r="P23" s="143"/>
    </row>
    <row r="24" spans="1:16" ht="17.25" thickBot="1" x14ac:dyDescent="0.35">
      <c r="A24" s="120"/>
      <c r="B24" s="255" t="s">
        <v>91</v>
      </c>
      <c r="C24" s="255"/>
      <c r="D24" s="255"/>
      <c r="E24" s="255"/>
      <c r="F24" s="255"/>
      <c r="G24" s="255"/>
      <c r="H24" s="256"/>
      <c r="J24" s="134"/>
      <c r="K24" s="135"/>
      <c r="L24" s="135"/>
      <c r="M24" s="135"/>
      <c r="N24" s="135"/>
      <c r="O24" s="135"/>
      <c r="P24" s="136"/>
    </row>
    <row r="25" spans="1:16" x14ac:dyDescent="0.3">
      <c r="A25" s="120"/>
      <c r="B25" s="101" t="s">
        <v>92</v>
      </c>
      <c r="C25" s="101"/>
      <c r="D25" s="101"/>
      <c r="E25" s="101"/>
      <c r="F25" s="101"/>
      <c r="G25" s="101"/>
      <c r="H25" s="121"/>
    </row>
    <row r="26" spans="1:16" x14ac:dyDescent="0.3">
      <c r="A26" s="122"/>
      <c r="B26" s="246" t="s">
        <v>93</v>
      </c>
      <c r="C26" s="246"/>
      <c r="D26" s="246"/>
      <c r="E26" s="246"/>
      <c r="F26" s="246"/>
      <c r="G26" s="246"/>
      <c r="H26" s="247"/>
    </row>
  </sheetData>
  <mergeCells count="24">
    <mergeCell ref="J15:K15"/>
    <mergeCell ref="B26:H26"/>
    <mergeCell ref="H9:H10"/>
    <mergeCell ref="B19:F19"/>
    <mergeCell ref="B21:H21"/>
    <mergeCell ref="B22:H22"/>
    <mergeCell ref="B23:H23"/>
    <mergeCell ref="B24:H24"/>
    <mergeCell ref="K20:N20"/>
    <mergeCell ref="K21:N21"/>
    <mergeCell ref="K23:N23"/>
    <mergeCell ref="A7:C8"/>
    <mergeCell ref="D7:D8"/>
    <mergeCell ref="F7:G7"/>
    <mergeCell ref="A9:C10"/>
    <mergeCell ref="E9:E10"/>
    <mergeCell ref="G9:G10"/>
    <mergeCell ref="A1:H1"/>
    <mergeCell ref="A3:B4"/>
    <mergeCell ref="C3:C4"/>
    <mergeCell ref="E3:H4"/>
    <mergeCell ref="A5:C6"/>
    <mergeCell ref="F5:H5"/>
    <mergeCell ref="F6:G6"/>
  </mergeCells>
  <phoneticPr fontId="4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F243"/>
  <sheetViews>
    <sheetView zoomScale="70" zoomScaleNormal="70" zoomScaleSheetLayoutView="70" workbookViewId="0">
      <selection activeCell="Y5" sqref="Y5"/>
    </sheetView>
  </sheetViews>
  <sheetFormatPr defaultRowHeight="16.5" x14ac:dyDescent="0.3"/>
  <cols>
    <col min="1" max="1" width="7.75" customWidth="1"/>
    <col min="2" max="2" width="11" customWidth="1"/>
    <col min="3" max="3" width="14.5" customWidth="1"/>
    <col min="4" max="4" width="14.25" bestFit="1" customWidth="1"/>
    <col min="5" max="5" width="15" customWidth="1"/>
    <col min="6" max="6" width="16.125" customWidth="1"/>
    <col min="7" max="7" width="18.5" customWidth="1"/>
    <col min="8" max="8" width="15.5" bestFit="1" customWidth="1"/>
    <col min="9" max="9" width="18.75" bestFit="1" customWidth="1"/>
    <col min="10" max="10" width="17.875" bestFit="1" customWidth="1"/>
    <col min="11" max="11" width="18.75" bestFit="1" customWidth="1"/>
    <col min="12" max="15" width="12.25" hidden="1" customWidth="1"/>
    <col min="16" max="16" width="15.625" hidden="1" customWidth="1"/>
    <col min="17" max="19" width="12.25" hidden="1" customWidth="1"/>
    <col min="20" max="20" width="14.25" hidden="1" customWidth="1"/>
    <col min="21" max="21" width="24.5" bestFit="1" customWidth="1"/>
    <col min="22" max="22" width="21.5" customWidth="1"/>
    <col min="24" max="24" width="13.625" bestFit="1" customWidth="1"/>
    <col min="25" max="25" width="14.625" bestFit="1" customWidth="1"/>
    <col min="26" max="26" width="10.875" bestFit="1" customWidth="1"/>
    <col min="27" max="27" width="13" bestFit="1" customWidth="1"/>
    <col min="28" max="28" width="11.75" bestFit="1" customWidth="1"/>
  </cols>
  <sheetData>
    <row r="1" spans="1:32" ht="84.75" customHeight="1" thickBot="1" x14ac:dyDescent="0.35">
      <c r="A1" s="220" t="str">
        <f>"RPS 태양광 경제성 분석 (현물시장) ["&amp;Y1&amp;"]"</f>
        <v>RPS 태양광 경제성 분석 (현물시장) [진코]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2"/>
      <c r="X1" s="140" t="s">
        <v>100</v>
      </c>
      <c r="Y1" s="141" t="s">
        <v>99</v>
      </c>
      <c r="AA1" s="216" t="s">
        <v>104</v>
      </c>
      <c r="AB1" s="216"/>
      <c r="AC1" s="216"/>
      <c r="AD1" s="216"/>
    </row>
    <row r="2" spans="1:32" s="31" customFormat="1" ht="3.75" customHeight="1" thickBot="1" x14ac:dyDescent="0.35">
      <c r="A2" s="35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32" ht="64.5" customHeight="1" thickTop="1" thickBot="1" x14ac:dyDescent="0.35">
      <c r="A3" s="68" t="s">
        <v>23</v>
      </c>
      <c r="B3" s="86" t="s">
        <v>61</v>
      </c>
      <c r="C3" s="69" t="s">
        <v>48</v>
      </c>
      <c r="D3" s="70" t="s">
        <v>53</v>
      </c>
      <c r="E3" s="71" t="s">
        <v>49</v>
      </c>
      <c r="F3" s="72" t="s">
        <v>50</v>
      </c>
      <c r="G3" s="73" t="s">
        <v>51</v>
      </c>
      <c r="H3" s="90" t="s">
        <v>69</v>
      </c>
      <c r="I3" s="94" t="s">
        <v>68</v>
      </c>
      <c r="J3" s="74" t="s">
        <v>67</v>
      </c>
      <c r="K3" s="75" t="s">
        <v>52</v>
      </c>
      <c r="L3" s="21" t="s">
        <v>44</v>
      </c>
      <c r="M3" s="18" t="s">
        <v>56</v>
      </c>
      <c r="N3" s="18" t="s">
        <v>59</v>
      </c>
      <c r="O3" s="18" t="s">
        <v>58</v>
      </c>
      <c r="P3" s="79" t="s">
        <v>36</v>
      </c>
      <c r="Q3" s="79" t="s">
        <v>55</v>
      </c>
      <c r="R3" s="18" t="s">
        <v>60</v>
      </c>
      <c r="S3" s="18" t="s">
        <v>57</v>
      </c>
      <c r="T3" s="18" t="s">
        <v>38</v>
      </c>
      <c r="U3" s="223" t="s">
        <v>62</v>
      </c>
      <c r="V3" s="224"/>
      <c r="X3" s="139"/>
      <c r="Y3" s="139"/>
    </row>
    <row r="4" spans="1:32" ht="35.25" customHeight="1" thickTop="1" x14ac:dyDescent="0.3">
      <c r="A4" s="2" t="s">
        <v>33</v>
      </c>
      <c r="B4" s="1">
        <f>(V5*365*V4)*110%</f>
        <v>803000.00000000012</v>
      </c>
      <c r="C4" s="1">
        <f t="shared" ref="C4:C23" si="0">B4*$V$6</f>
        <v>118089180.00000001</v>
      </c>
      <c r="D4" s="6">
        <f t="shared" ref="D4:D23" si="1">B4*$V$8*$V$7</f>
        <v>95362674.000000015</v>
      </c>
      <c r="E4" s="10">
        <f>C4+D4</f>
        <v>213451854.00000003</v>
      </c>
      <c r="F4" s="8">
        <f>(C4+D4)*0.03</f>
        <v>6403555.620000001</v>
      </c>
      <c r="G4" s="32">
        <f>C4+D4-F4</f>
        <v>207048298.38000003</v>
      </c>
      <c r="H4" s="127">
        <f t="shared" ref="H4:H23" si="2">G4/12</f>
        <v>17254024.865000002</v>
      </c>
      <c r="I4" s="128">
        <f>G4</f>
        <v>207048298.38000003</v>
      </c>
      <c r="J4" s="129">
        <f>H4-(SUM($P$4:$P$15)/12)</f>
        <v>14847774.865000002</v>
      </c>
      <c r="K4" s="130">
        <f>G4-SUM(P4:P15)</f>
        <v>178173298.38000003</v>
      </c>
      <c r="L4" s="22">
        <v>1</v>
      </c>
      <c r="M4" s="76">
        <f t="shared" ref="M4:M67" si="3">EDATE($Y$13,L4)</f>
        <v>44228</v>
      </c>
      <c r="N4" s="77"/>
      <c r="O4" s="77"/>
      <c r="P4" s="24">
        <f t="shared" ref="P4:P67" si="4">IF(S4&gt;0,O4,IF(R4&gt;0,O4,0))</f>
        <v>0</v>
      </c>
      <c r="Q4" s="77"/>
      <c r="R4" s="19">
        <f>IF(L4&lt;=$V$17,0,(IF(L4&lt;=$Y$12,$Y$14,0)))</f>
        <v>0</v>
      </c>
      <c r="S4" s="77">
        <f>$V$14</f>
        <v>525000000</v>
      </c>
      <c r="T4" s="19">
        <f>Q4+P4</f>
        <v>0</v>
      </c>
      <c r="U4" s="37" t="s">
        <v>0</v>
      </c>
      <c r="V4" s="38">
        <f>Y4</f>
        <v>500</v>
      </c>
      <c r="X4" s="123" t="s">
        <v>24</v>
      </c>
      <c r="Y4" s="124">
        <v>500</v>
      </c>
    </row>
    <row r="5" spans="1:32" ht="35.25" customHeight="1" x14ac:dyDescent="0.3">
      <c r="A5" s="3" t="s">
        <v>1</v>
      </c>
      <c r="B5" s="4">
        <f>B4*0.995</f>
        <v>798985.00000000012</v>
      </c>
      <c r="C5" s="4">
        <f t="shared" si="0"/>
        <v>117498734.10000002</v>
      </c>
      <c r="D5" s="7">
        <f t="shared" si="1"/>
        <v>94885860.63000001</v>
      </c>
      <c r="E5" s="11">
        <f t="shared" ref="E5:E23" si="5">C5+D5</f>
        <v>212384594.73000002</v>
      </c>
      <c r="F5" s="9">
        <f t="shared" ref="F5:F23" si="6">(C5+D5)*0.03</f>
        <v>6371537.8419000003</v>
      </c>
      <c r="G5" s="33">
        <f t="shared" ref="G5:G23" si="7">C5+D5-F5</f>
        <v>206013056.88810003</v>
      </c>
      <c r="H5" s="92">
        <f t="shared" si="2"/>
        <v>17167754.740675002</v>
      </c>
      <c r="I5" s="96">
        <f>SUM(G4:G5)</f>
        <v>413061355.26810002</v>
      </c>
      <c r="J5" s="154">
        <f t="shared" ref="J5:J22" si="8">H5-(SUM($P$4:$P$15)/12)</f>
        <v>14761504.740675002</v>
      </c>
      <c r="K5" s="27">
        <f>SUM($G$4:G5)-SUM($P$4:P27)</f>
        <v>352686355.26810002</v>
      </c>
      <c r="L5" s="23">
        <v>2</v>
      </c>
      <c r="M5" s="76">
        <f t="shared" si="3"/>
        <v>44256</v>
      </c>
      <c r="N5" s="77">
        <f>IF(L5&lt;=$V$17,0,(IF(L5&lt;=$Y$12,Q5-O5,0)))</f>
        <v>0</v>
      </c>
      <c r="O5" s="77">
        <f>$V$14*$V$15/12</f>
        <v>2625000</v>
      </c>
      <c r="P5" s="24">
        <f t="shared" si="4"/>
        <v>2625000</v>
      </c>
      <c r="Q5" s="77">
        <f>IF(L5&gt;SUM($V$16:$V$17),0,SUM(N5,P5))</f>
        <v>2625000</v>
      </c>
      <c r="R5" s="19">
        <f t="shared" ref="R5:R68" si="9">IF(L5&gt;$Y$12,0,(IF(L5&lt;=$V$17,0,$Y$14)))</f>
        <v>0</v>
      </c>
      <c r="S5" s="77">
        <f t="shared" ref="S5:S68" si="10">S4-N5</f>
        <v>525000000</v>
      </c>
      <c r="T5" s="19">
        <f>N5+P5</f>
        <v>2625000</v>
      </c>
      <c r="U5" s="39" t="s">
        <v>29</v>
      </c>
      <c r="V5" s="38">
        <f>Y5</f>
        <v>4</v>
      </c>
      <c r="X5" s="58" t="s">
        <v>25</v>
      </c>
      <c r="Y5" s="59">
        <v>4</v>
      </c>
      <c r="AA5" s="87" t="s">
        <v>63</v>
      </c>
      <c r="AB5" s="87" t="s">
        <v>64</v>
      </c>
      <c r="AC5" s="87" t="s">
        <v>65</v>
      </c>
      <c r="AD5" s="87" t="s">
        <v>66</v>
      </c>
    </row>
    <row r="6" spans="1:32" ht="35.25" customHeight="1" x14ac:dyDescent="0.3">
      <c r="A6" s="2" t="s">
        <v>2</v>
      </c>
      <c r="B6" s="1">
        <f t="shared" ref="B6:B22" si="11">B5*0.995</f>
        <v>794990.07500000007</v>
      </c>
      <c r="C6" s="1">
        <f t="shared" si="0"/>
        <v>116911240.42950001</v>
      </c>
      <c r="D6" s="6">
        <f t="shared" si="1"/>
        <v>94411431.326849997</v>
      </c>
      <c r="E6" s="10">
        <f t="shared" si="5"/>
        <v>211322671.75635001</v>
      </c>
      <c r="F6" s="8">
        <f t="shared" si="6"/>
        <v>6339680.1526905</v>
      </c>
      <c r="G6" s="32">
        <f t="shared" si="7"/>
        <v>204982991.60365951</v>
      </c>
      <c r="H6" s="91">
        <f t="shared" si="2"/>
        <v>17081915.966971625</v>
      </c>
      <c r="I6" s="95">
        <f t="shared" ref="I6:I23" si="12">I5+G6</f>
        <v>618044346.87175953</v>
      </c>
      <c r="J6" s="129">
        <f t="shared" si="8"/>
        <v>14675665.966971625</v>
      </c>
      <c r="K6" s="26">
        <f>SUM($G$4:G6)-SUM($P$4:P39)</f>
        <v>526169346.87175953</v>
      </c>
      <c r="L6" s="22">
        <v>3</v>
      </c>
      <c r="M6" s="76">
        <f t="shared" si="3"/>
        <v>44287</v>
      </c>
      <c r="N6" s="77">
        <f t="shared" ref="N6:N69" si="13">IF(L6&lt;=$V$17,0,(IF(L6&lt;=$Y$12,R6-O6,0)))</f>
        <v>0</v>
      </c>
      <c r="O6" s="77">
        <f t="shared" ref="O6:O69" si="14">S5*$V$15/12</f>
        <v>2625000</v>
      </c>
      <c r="P6" s="24">
        <f t="shared" si="4"/>
        <v>2625000</v>
      </c>
      <c r="Q6" s="77">
        <f t="shared" ref="Q6:Q69" si="15">IF(L6&gt;SUM($V$16:$V$17),0,SUM(N6,P6))</f>
        <v>2625000</v>
      </c>
      <c r="R6" s="19">
        <f t="shared" si="9"/>
        <v>0</v>
      </c>
      <c r="S6" s="77">
        <f t="shared" si="10"/>
        <v>525000000</v>
      </c>
      <c r="T6" s="19">
        <f t="shared" ref="T6:T69" si="16">N6+P6</f>
        <v>2625000</v>
      </c>
      <c r="U6" s="39" t="s">
        <v>30</v>
      </c>
      <c r="V6" s="40">
        <f>Y6</f>
        <v>147.06</v>
      </c>
      <c r="X6" s="125" t="s">
        <v>26</v>
      </c>
      <c r="Y6" s="126">
        <v>147.06</v>
      </c>
      <c r="AA6" s="87">
        <v>154.411</v>
      </c>
      <c r="AB6" s="88">
        <v>139.41200000000001</v>
      </c>
      <c r="AC6" s="87">
        <v>141.464</v>
      </c>
      <c r="AD6" s="87">
        <v>139.74199999999999</v>
      </c>
    </row>
    <row r="7" spans="1:32" ht="35.25" customHeight="1" x14ac:dyDescent="0.3">
      <c r="A7" s="3" t="s">
        <v>3</v>
      </c>
      <c r="B7" s="4">
        <f t="shared" si="11"/>
        <v>791015.12462500005</v>
      </c>
      <c r="C7" s="4">
        <f t="shared" si="0"/>
        <v>116326684.22735251</v>
      </c>
      <c r="D7" s="7">
        <f t="shared" si="1"/>
        <v>93939374.170215756</v>
      </c>
      <c r="E7" s="11">
        <f t="shared" si="5"/>
        <v>210266058.39756829</v>
      </c>
      <c r="F7" s="9">
        <f t="shared" si="6"/>
        <v>6307981.751927048</v>
      </c>
      <c r="G7" s="33">
        <f t="shared" si="7"/>
        <v>203958076.64564124</v>
      </c>
      <c r="H7" s="92">
        <f t="shared" si="2"/>
        <v>16996506.387136769</v>
      </c>
      <c r="I7" s="96">
        <f t="shared" si="12"/>
        <v>822002423.51740074</v>
      </c>
      <c r="J7" s="154">
        <f t="shared" si="8"/>
        <v>14590256.387136769</v>
      </c>
      <c r="K7" s="27">
        <f>SUM($G$4:G7)-SUM($T$4:T51)</f>
        <v>698627423.51740074</v>
      </c>
      <c r="L7" s="23">
        <v>4</v>
      </c>
      <c r="M7" s="76">
        <f t="shared" si="3"/>
        <v>44317</v>
      </c>
      <c r="N7" s="77">
        <f t="shared" si="13"/>
        <v>0</v>
      </c>
      <c r="O7" s="77">
        <f t="shared" si="14"/>
        <v>2625000</v>
      </c>
      <c r="P7" s="24">
        <f t="shared" si="4"/>
        <v>2625000</v>
      </c>
      <c r="Q7" s="77">
        <f t="shared" si="15"/>
        <v>2625000</v>
      </c>
      <c r="R7" s="19">
        <f t="shared" si="9"/>
        <v>0</v>
      </c>
      <c r="S7" s="77">
        <f t="shared" si="10"/>
        <v>525000000</v>
      </c>
      <c r="T7" s="19">
        <f t="shared" si="16"/>
        <v>2625000</v>
      </c>
      <c r="U7" s="39" t="s">
        <v>31</v>
      </c>
      <c r="V7" s="40">
        <f>Y7</f>
        <v>79.171999999999997</v>
      </c>
      <c r="X7" s="125" t="s">
        <v>27</v>
      </c>
      <c r="Y7" s="126">
        <v>79.171999999999997</v>
      </c>
      <c r="AA7" s="87">
        <v>81.91</v>
      </c>
      <c r="AB7" s="87">
        <v>81.91</v>
      </c>
      <c r="AC7" s="87">
        <v>81.91</v>
      </c>
      <c r="AD7" s="87">
        <v>81.91</v>
      </c>
    </row>
    <row r="8" spans="1:32" ht="35.25" customHeight="1" thickBot="1" x14ac:dyDescent="0.35">
      <c r="A8" s="2" t="s">
        <v>4</v>
      </c>
      <c r="B8" s="1">
        <f t="shared" si="11"/>
        <v>787060.0490018751</v>
      </c>
      <c r="C8" s="1">
        <f t="shared" si="0"/>
        <v>115745050.80621575</v>
      </c>
      <c r="D8" s="6">
        <f t="shared" si="1"/>
        <v>93469677.299364671</v>
      </c>
      <c r="E8" s="10">
        <f t="shared" si="5"/>
        <v>209214728.10558042</v>
      </c>
      <c r="F8" s="8">
        <f t="shared" si="6"/>
        <v>6276441.8431674121</v>
      </c>
      <c r="G8" s="32">
        <f t="shared" si="7"/>
        <v>202938286.262413</v>
      </c>
      <c r="H8" s="91">
        <f t="shared" si="2"/>
        <v>16911523.855201084</v>
      </c>
      <c r="I8" s="95">
        <f t="shared" si="12"/>
        <v>1024940709.7798138</v>
      </c>
      <c r="J8" s="129">
        <f t="shared" si="8"/>
        <v>14505273.855201084</v>
      </c>
      <c r="K8" s="26">
        <f>SUM($G$4:G8)-SUM($P$4:P63)</f>
        <v>870065709.77981377</v>
      </c>
      <c r="L8" s="22">
        <v>5</v>
      </c>
      <c r="M8" s="76">
        <f t="shared" si="3"/>
        <v>44348</v>
      </c>
      <c r="N8" s="77">
        <f t="shared" si="13"/>
        <v>0</v>
      </c>
      <c r="O8" s="77">
        <f t="shared" si="14"/>
        <v>2625000</v>
      </c>
      <c r="P8" s="24">
        <f t="shared" si="4"/>
        <v>2625000</v>
      </c>
      <c r="Q8" s="77">
        <f t="shared" si="15"/>
        <v>2625000</v>
      </c>
      <c r="R8" s="19">
        <f t="shared" si="9"/>
        <v>0</v>
      </c>
      <c r="S8" s="77">
        <f t="shared" si="10"/>
        <v>525000000</v>
      </c>
      <c r="T8" s="19">
        <f t="shared" si="16"/>
        <v>2625000</v>
      </c>
      <c r="U8" s="41" t="s">
        <v>32</v>
      </c>
      <c r="V8" s="40">
        <f>Y8</f>
        <v>1.5</v>
      </c>
      <c r="X8" s="58" t="s">
        <v>28</v>
      </c>
      <c r="Y8" s="59">
        <v>1.5</v>
      </c>
      <c r="AA8" s="87">
        <f>AA6-AA7</f>
        <v>72.501000000000005</v>
      </c>
      <c r="AB8" s="87">
        <f>AB6-AB7</f>
        <v>57.50200000000001</v>
      </c>
      <c r="AC8" s="87">
        <f>AC6-AC7</f>
        <v>59.554000000000002</v>
      </c>
      <c r="AD8" s="87">
        <f>AD6-AD7</f>
        <v>57.831999999999994</v>
      </c>
    </row>
    <row r="9" spans="1:32" ht="35.25" customHeight="1" x14ac:dyDescent="0.3">
      <c r="A9" s="3" t="s">
        <v>5</v>
      </c>
      <c r="B9" s="4">
        <f t="shared" si="11"/>
        <v>783124.74875686574</v>
      </c>
      <c r="C9" s="4">
        <f t="shared" si="0"/>
        <v>115166325.55218467</v>
      </c>
      <c r="D9" s="7">
        <f t="shared" si="1"/>
        <v>93002328.912867844</v>
      </c>
      <c r="E9" s="11">
        <f t="shared" si="5"/>
        <v>208168654.46505252</v>
      </c>
      <c r="F9" s="9">
        <f t="shared" si="6"/>
        <v>6245059.6339515755</v>
      </c>
      <c r="G9" s="33">
        <f t="shared" si="7"/>
        <v>201923594.83110094</v>
      </c>
      <c r="H9" s="92">
        <f t="shared" si="2"/>
        <v>16826966.235925078</v>
      </c>
      <c r="I9" s="96">
        <f t="shared" si="12"/>
        <v>1226864304.6109147</v>
      </c>
      <c r="J9" s="154">
        <f t="shared" si="8"/>
        <v>14420716.235925078</v>
      </c>
      <c r="K9" s="27">
        <f>SUM($G$4:G9)-SUM($T$4:T75)</f>
        <v>1002046388.3876754</v>
      </c>
      <c r="L9" s="23">
        <v>6</v>
      </c>
      <c r="M9" s="76">
        <f t="shared" si="3"/>
        <v>44378</v>
      </c>
      <c r="N9" s="77">
        <f t="shared" si="13"/>
        <v>0</v>
      </c>
      <c r="O9" s="77">
        <f t="shared" si="14"/>
        <v>2625000</v>
      </c>
      <c r="P9" s="24">
        <f t="shared" si="4"/>
        <v>2625000</v>
      </c>
      <c r="Q9" s="77">
        <f t="shared" si="15"/>
        <v>2625000</v>
      </c>
      <c r="R9" s="19">
        <f t="shared" si="9"/>
        <v>0</v>
      </c>
      <c r="S9" s="77">
        <f t="shared" si="10"/>
        <v>525000000</v>
      </c>
      <c r="T9" s="19">
        <f t="shared" si="16"/>
        <v>2625000</v>
      </c>
      <c r="U9" s="225" t="s">
        <v>41</v>
      </c>
      <c r="V9" s="226"/>
      <c r="X9" s="58" t="s">
        <v>94</v>
      </c>
      <c r="Y9" s="149">
        <f>AB13</f>
        <v>1000000</v>
      </c>
    </row>
    <row r="10" spans="1:32" ht="35.25" customHeight="1" thickBot="1" x14ac:dyDescent="0.35">
      <c r="A10" s="2" t="s">
        <v>6</v>
      </c>
      <c r="B10" s="1">
        <f t="shared" si="11"/>
        <v>779209.12501308136</v>
      </c>
      <c r="C10" s="1">
        <f t="shared" si="0"/>
        <v>114590493.92442374</v>
      </c>
      <c r="D10" s="6">
        <f t="shared" si="1"/>
        <v>92537317.268303514</v>
      </c>
      <c r="E10" s="10">
        <f t="shared" si="5"/>
        <v>207127811.19272727</v>
      </c>
      <c r="F10" s="8">
        <f t="shared" si="6"/>
        <v>6213834.3357818183</v>
      </c>
      <c r="G10" s="32">
        <f t="shared" si="7"/>
        <v>200913976.85694546</v>
      </c>
      <c r="H10" s="91">
        <f t="shared" si="2"/>
        <v>16742831.404745454</v>
      </c>
      <c r="I10" s="95">
        <f t="shared" si="12"/>
        <v>1427778281.4678602</v>
      </c>
      <c r="J10" s="129">
        <f t="shared" si="8"/>
        <v>14336581.404745454</v>
      </c>
      <c r="K10" s="26">
        <f>SUM($G$4:G10)-SUM($P$3:P86)</f>
        <v>1216726258.250823</v>
      </c>
      <c r="L10" s="22">
        <v>7</v>
      </c>
      <c r="M10" s="76">
        <f t="shared" si="3"/>
        <v>44409</v>
      </c>
      <c r="N10" s="77">
        <f t="shared" si="13"/>
        <v>0</v>
      </c>
      <c r="O10" s="77">
        <f t="shared" si="14"/>
        <v>2625000</v>
      </c>
      <c r="P10" s="24">
        <f t="shared" si="4"/>
        <v>2625000</v>
      </c>
      <c r="Q10" s="77">
        <f t="shared" si="15"/>
        <v>2625000</v>
      </c>
      <c r="R10" s="19">
        <f t="shared" si="9"/>
        <v>0</v>
      </c>
      <c r="S10" s="77">
        <f t="shared" si="10"/>
        <v>525000000</v>
      </c>
      <c r="T10" s="19">
        <f t="shared" si="16"/>
        <v>2625000</v>
      </c>
      <c r="U10" s="42" t="s">
        <v>70</v>
      </c>
      <c r="V10" s="43">
        <f>SUM(Y9*Y4)</f>
        <v>500000000</v>
      </c>
      <c r="X10" s="63" t="s">
        <v>47</v>
      </c>
      <c r="Y10" s="89"/>
      <c r="AA10" s="144" t="s">
        <v>101</v>
      </c>
      <c r="AB10" s="150">
        <v>1100000</v>
      </c>
      <c r="AC10" s="148" t="s">
        <v>98</v>
      </c>
    </row>
    <row r="11" spans="1:32" ht="35.25" customHeight="1" thickTop="1" x14ac:dyDescent="0.3">
      <c r="A11" s="3" t="s">
        <v>7</v>
      </c>
      <c r="B11" s="4">
        <f>B10*0.995</f>
        <v>775313.0793880159</v>
      </c>
      <c r="C11" s="4">
        <f t="shared" si="0"/>
        <v>114017541.45480162</v>
      </c>
      <c r="D11" s="7">
        <f t="shared" si="1"/>
        <v>92074630.681961983</v>
      </c>
      <c r="E11" s="11">
        <f t="shared" si="5"/>
        <v>206092172.1367636</v>
      </c>
      <c r="F11" s="9">
        <f t="shared" si="6"/>
        <v>6182765.1641029082</v>
      </c>
      <c r="G11" s="33">
        <f t="shared" si="7"/>
        <v>199909406.97266069</v>
      </c>
      <c r="H11" s="92">
        <f t="shared" si="2"/>
        <v>16659117.247721724</v>
      </c>
      <c r="I11" s="96">
        <f t="shared" si="12"/>
        <v>1627687688.440521</v>
      </c>
      <c r="J11" s="154">
        <f t="shared" si="8"/>
        <v>14252867.247721724</v>
      </c>
      <c r="K11" s="27">
        <f>SUM($G$4:G11)-SUM($P$4:P99)</f>
        <v>1389000155.4129603</v>
      </c>
      <c r="L11" s="23">
        <v>8</v>
      </c>
      <c r="M11" s="76">
        <f t="shared" si="3"/>
        <v>44440</v>
      </c>
      <c r="N11" s="77">
        <f t="shared" si="13"/>
        <v>0</v>
      </c>
      <c r="O11" s="77">
        <f t="shared" si="14"/>
        <v>2625000</v>
      </c>
      <c r="P11" s="24">
        <f t="shared" si="4"/>
        <v>2625000</v>
      </c>
      <c r="Q11" s="77">
        <f t="shared" si="15"/>
        <v>2625000</v>
      </c>
      <c r="R11" s="19">
        <f t="shared" si="9"/>
        <v>0</v>
      </c>
      <c r="S11" s="77">
        <f t="shared" si="10"/>
        <v>525000000</v>
      </c>
      <c r="T11" s="19">
        <f t="shared" si="16"/>
        <v>2625000</v>
      </c>
      <c r="U11" s="44" t="s">
        <v>71</v>
      </c>
      <c r="V11" s="43">
        <f>SUM(V10*0.1)</f>
        <v>50000000</v>
      </c>
      <c r="X11" s="64" t="s">
        <v>37</v>
      </c>
      <c r="Y11" s="65">
        <f>V14/365*V15*30*12</f>
        <v>31068493.15068493</v>
      </c>
      <c r="AA11" s="145" t="s">
        <v>99</v>
      </c>
      <c r="AB11" s="151">
        <v>1000000</v>
      </c>
    </row>
    <row r="12" spans="1:32" ht="35.25" customHeight="1" thickBot="1" x14ac:dyDescent="0.35">
      <c r="A12" s="2" t="s">
        <v>8</v>
      </c>
      <c r="B12" s="1">
        <f t="shared" si="11"/>
        <v>771436.5139910758</v>
      </c>
      <c r="C12" s="1">
        <f t="shared" si="0"/>
        <v>113447453.74752761</v>
      </c>
      <c r="D12" s="6">
        <f t="shared" si="1"/>
        <v>91614257.528552189</v>
      </c>
      <c r="E12" s="10">
        <f t="shared" si="5"/>
        <v>205061711.2760798</v>
      </c>
      <c r="F12" s="8">
        <f t="shared" si="6"/>
        <v>6151851.3382823942</v>
      </c>
      <c r="G12" s="32">
        <f t="shared" si="7"/>
        <v>198909859.9377974</v>
      </c>
      <c r="H12" s="91">
        <f t="shared" si="2"/>
        <v>16575821.661483116</v>
      </c>
      <c r="I12" s="95">
        <f t="shared" si="12"/>
        <v>1826597548.3783183</v>
      </c>
      <c r="J12" s="129">
        <f t="shared" si="8"/>
        <v>14169571.661483116</v>
      </c>
      <c r="K12" s="26">
        <f>SUM($G$4:G12)-SUM($P$4:P111)</f>
        <v>1565257419.4734328</v>
      </c>
      <c r="L12" s="22">
        <v>9</v>
      </c>
      <c r="M12" s="76">
        <f t="shared" si="3"/>
        <v>44470</v>
      </c>
      <c r="N12" s="77">
        <f t="shared" si="13"/>
        <v>0</v>
      </c>
      <c r="O12" s="77">
        <f t="shared" si="14"/>
        <v>2625000</v>
      </c>
      <c r="P12" s="24">
        <f t="shared" si="4"/>
        <v>2625000</v>
      </c>
      <c r="Q12" s="77">
        <f t="shared" si="15"/>
        <v>2625000</v>
      </c>
      <c r="R12" s="19">
        <f t="shared" si="9"/>
        <v>0</v>
      </c>
      <c r="S12" s="77">
        <f t="shared" si="10"/>
        <v>525000000</v>
      </c>
      <c r="T12" s="19">
        <f t="shared" si="16"/>
        <v>2625000</v>
      </c>
      <c r="U12" s="45" t="s">
        <v>10</v>
      </c>
      <c r="V12" s="46">
        <f>V10+V11</f>
        <v>550000000</v>
      </c>
      <c r="X12" s="66" t="s">
        <v>45</v>
      </c>
      <c r="Y12" s="67">
        <f>V17+V16</f>
        <v>180</v>
      </c>
      <c r="AA12" s="146"/>
      <c r="AB12" s="152"/>
    </row>
    <row r="13" spans="1:32" ht="35.25" customHeight="1" thickBot="1" x14ac:dyDescent="0.35">
      <c r="A13" s="3" t="s">
        <v>9</v>
      </c>
      <c r="B13" s="4">
        <f t="shared" si="11"/>
        <v>767579.33142112044</v>
      </c>
      <c r="C13" s="4">
        <f t="shared" si="0"/>
        <v>112880216.47878997</v>
      </c>
      <c r="D13" s="7">
        <f t="shared" si="1"/>
        <v>91156186.240909413</v>
      </c>
      <c r="E13" s="11">
        <f t="shared" si="5"/>
        <v>204036402.71969938</v>
      </c>
      <c r="F13" s="9">
        <f t="shared" si="6"/>
        <v>6121092.0815909812</v>
      </c>
      <c r="G13" s="33">
        <f t="shared" si="7"/>
        <v>197915310.6381084</v>
      </c>
      <c r="H13" s="92">
        <f t="shared" si="2"/>
        <v>16492942.553175701</v>
      </c>
      <c r="I13" s="96">
        <f t="shared" si="12"/>
        <v>2024512859.0164268</v>
      </c>
      <c r="J13" s="154">
        <f t="shared" si="8"/>
        <v>14086692.553175701</v>
      </c>
      <c r="K13" s="27">
        <f>SUM($G$4:G13)-SUM($P$4:P123)</f>
        <v>1743436897.7155235</v>
      </c>
      <c r="L13" s="23">
        <v>10</v>
      </c>
      <c r="M13" s="76">
        <f t="shared" si="3"/>
        <v>44501</v>
      </c>
      <c r="N13" s="77">
        <f t="shared" si="13"/>
        <v>0</v>
      </c>
      <c r="O13" s="77">
        <f t="shared" si="14"/>
        <v>2625000</v>
      </c>
      <c r="P13" s="24">
        <f t="shared" si="4"/>
        <v>2625000</v>
      </c>
      <c r="Q13" s="77">
        <f t="shared" si="15"/>
        <v>2625000</v>
      </c>
      <c r="R13" s="19">
        <f t="shared" si="9"/>
        <v>0</v>
      </c>
      <c r="S13" s="77">
        <f t="shared" si="10"/>
        <v>525000000</v>
      </c>
      <c r="T13" s="19">
        <f t="shared" si="16"/>
        <v>2625000</v>
      </c>
      <c r="U13" s="227" t="s">
        <v>42</v>
      </c>
      <c r="V13" s="228"/>
      <c r="X13" s="66" t="s">
        <v>54</v>
      </c>
      <c r="Y13" s="82">
        <v>44197</v>
      </c>
      <c r="AA13" s="147" t="s">
        <v>99</v>
      </c>
      <c r="AB13" s="153">
        <f>IF(AA13=Y1,AB11,AB10)</f>
        <v>1000000</v>
      </c>
    </row>
    <row r="14" spans="1:32" ht="35.25" customHeight="1" thickTop="1" x14ac:dyDescent="0.3">
      <c r="A14" s="2" t="s">
        <v>11</v>
      </c>
      <c r="B14" s="1">
        <f t="shared" si="11"/>
        <v>763741.43476401479</v>
      </c>
      <c r="C14" s="1">
        <f t="shared" si="0"/>
        <v>112315815.39639601</v>
      </c>
      <c r="D14" s="6">
        <f t="shared" si="1"/>
        <v>90700405.30970487</v>
      </c>
      <c r="E14" s="10">
        <f t="shared" si="5"/>
        <v>203016220.70610088</v>
      </c>
      <c r="F14" s="8">
        <f t="shared" si="6"/>
        <v>6090486.6211830266</v>
      </c>
      <c r="G14" s="32">
        <f t="shared" si="7"/>
        <v>196925734.08491784</v>
      </c>
      <c r="H14" s="91">
        <f t="shared" si="2"/>
        <v>16410477.840409821</v>
      </c>
      <c r="I14" s="95">
        <f t="shared" si="12"/>
        <v>2221438593.1013446</v>
      </c>
      <c r="J14" s="129">
        <f t="shared" si="8"/>
        <v>14004227.840409821</v>
      </c>
      <c r="K14" s="26">
        <f>SUM($G$4:G14)-SUM($P$4:P135)</f>
        <v>1923723462.4749839</v>
      </c>
      <c r="L14" s="22">
        <v>11</v>
      </c>
      <c r="M14" s="76">
        <f t="shared" si="3"/>
        <v>44531</v>
      </c>
      <c r="N14" s="77">
        <f t="shared" si="13"/>
        <v>0</v>
      </c>
      <c r="O14" s="77">
        <f t="shared" si="14"/>
        <v>2625000</v>
      </c>
      <c r="P14" s="24">
        <f t="shared" si="4"/>
        <v>2625000</v>
      </c>
      <c r="Q14" s="77">
        <f t="shared" si="15"/>
        <v>2625000</v>
      </c>
      <c r="R14" s="19">
        <f t="shared" si="9"/>
        <v>0</v>
      </c>
      <c r="S14" s="77">
        <f t="shared" si="10"/>
        <v>525000000</v>
      </c>
      <c r="T14" s="19">
        <f t="shared" si="16"/>
        <v>2625000</v>
      </c>
      <c r="U14" s="55" t="s">
        <v>34</v>
      </c>
      <c r="V14" s="60">
        <f>SUM(Y16*Y4)</f>
        <v>525000000</v>
      </c>
      <c r="X14" s="66" t="s">
        <v>55</v>
      </c>
      <c r="Y14" s="83">
        <f>PMT($V$15/12,V16,-V14)</f>
        <v>5828576.3519365955</v>
      </c>
      <c r="AF14" s="87"/>
    </row>
    <row r="15" spans="1:32" ht="35.25" customHeight="1" thickBot="1" x14ac:dyDescent="0.35">
      <c r="A15" s="3" t="s">
        <v>12</v>
      </c>
      <c r="B15" s="4">
        <f t="shared" si="11"/>
        <v>759922.72759019467</v>
      </c>
      <c r="C15" s="4">
        <f t="shared" si="0"/>
        <v>111754236.31941403</v>
      </c>
      <c r="D15" s="7">
        <f t="shared" si="1"/>
        <v>90246903.28315632</v>
      </c>
      <c r="E15" s="11">
        <f t="shared" si="5"/>
        <v>202001139.60257035</v>
      </c>
      <c r="F15" s="9">
        <f t="shared" si="6"/>
        <v>6060034.1880771108</v>
      </c>
      <c r="G15" s="33">
        <f t="shared" si="7"/>
        <v>195941105.41449323</v>
      </c>
      <c r="H15" s="92">
        <f t="shared" si="2"/>
        <v>16328425.45120777</v>
      </c>
      <c r="I15" s="96">
        <f t="shared" si="12"/>
        <v>2417379698.5158377</v>
      </c>
      <c r="J15" s="154">
        <f t="shared" si="8"/>
        <v>13922175.45120777</v>
      </c>
      <c r="K15" s="27">
        <f>SUM($G$4:G15)-SUM($P$4:P147)</f>
        <v>2106313057.036854</v>
      </c>
      <c r="L15" s="23">
        <v>12</v>
      </c>
      <c r="M15" s="76">
        <f t="shared" si="3"/>
        <v>44562</v>
      </c>
      <c r="N15" s="77">
        <f t="shared" si="13"/>
        <v>0</v>
      </c>
      <c r="O15" s="77">
        <f t="shared" si="14"/>
        <v>2625000</v>
      </c>
      <c r="P15" s="24">
        <f t="shared" si="4"/>
        <v>2625000</v>
      </c>
      <c r="Q15" s="77">
        <f t="shared" si="15"/>
        <v>2625000</v>
      </c>
      <c r="R15" s="19">
        <f t="shared" si="9"/>
        <v>0</v>
      </c>
      <c r="S15" s="77">
        <f t="shared" si="10"/>
        <v>525000000</v>
      </c>
      <c r="T15" s="19">
        <f t="shared" si="16"/>
        <v>2625000</v>
      </c>
      <c r="U15" s="56" t="s">
        <v>35</v>
      </c>
      <c r="V15" s="61">
        <v>0.06</v>
      </c>
    </row>
    <row r="16" spans="1:32" ht="35.25" customHeight="1" thickBot="1" x14ac:dyDescent="0.35">
      <c r="A16" s="2" t="s">
        <v>13</v>
      </c>
      <c r="B16" s="1">
        <f t="shared" si="11"/>
        <v>756123.1139522437</v>
      </c>
      <c r="C16" s="1">
        <f t="shared" si="0"/>
        <v>111195465.13781697</v>
      </c>
      <c r="D16" s="6">
        <f t="shared" si="1"/>
        <v>89795668.766740561</v>
      </c>
      <c r="E16" s="10">
        <f t="shared" si="5"/>
        <v>200991133.90455753</v>
      </c>
      <c r="F16" s="8">
        <f t="shared" si="6"/>
        <v>6029734.0171367256</v>
      </c>
      <c r="G16" s="32">
        <f t="shared" si="7"/>
        <v>194961399.8874208</v>
      </c>
      <c r="H16" s="91">
        <f t="shared" si="2"/>
        <v>16246783.323951734</v>
      </c>
      <c r="I16" s="95">
        <f t="shared" si="12"/>
        <v>2612341098.4032583</v>
      </c>
      <c r="J16" s="129">
        <f t="shared" si="8"/>
        <v>13840533.323951734</v>
      </c>
      <c r="K16" s="26">
        <f>SUM($G$4:G16)-SUM($P$4:P159)</f>
        <v>2291413380.1252484</v>
      </c>
      <c r="L16" s="22">
        <v>13</v>
      </c>
      <c r="M16" s="76">
        <f t="shared" si="3"/>
        <v>44593</v>
      </c>
      <c r="N16" s="77">
        <f t="shared" si="13"/>
        <v>0</v>
      </c>
      <c r="O16" s="77">
        <f t="shared" si="14"/>
        <v>2625000</v>
      </c>
      <c r="P16" s="24">
        <f t="shared" si="4"/>
        <v>2625000</v>
      </c>
      <c r="Q16" s="77">
        <f t="shared" si="15"/>
        <v>2625000</v>
      </c>
      <c r="R16" s="19">
        <f t="shared" si="9"/>
        <v>0</v>
      </c>
      <c r="S16" s="77">
        <f t="shared" si="10"/>
        <v>525000000</v>
      </c>
      <c r="T16" s="19">
        <f t="shared" si="16"/>
        <v>2625000</v>
      </c>
      <c r="U16" s="57" t="s">
        <v>44</v>
      </c>
      <c r="V16" s="80">
        <v>120</v>
      </c>
      <c r="X16" s="137" t="s">
        <v>95</v>
      </c>
      <c r="Y16" s="138">
        <v>1050000</v>
      </c>
    </row>
    <row r="17" spans="1:27" ht="35.25" customHeight="1" thickBot="1" x14ac:dyDescent="0.35">
      <c r="A17" s="3" t="s">
        <v>14</v>
      </c>
      <c r="B17" s="4">
        <f t="shared" si="11"/>
        <v>752342.49838248244</v>
      </c>
      <c r="C17" s="4">
        <f t="shared" si="0"/>
        <v>110639487.81212787</v>
      </c>
      <c r="D17" s="7">
        <f t="shared" si="1"/>
        <v>89346690.422906831</v>
      </c>
      <c r="E17" s="11">
        <f t="shared" si="5"/>
        <v>199986178.2350347</v>
      </c>
      <c r="F17" s="9">
        <f t="shared" si="6"/>
        <v>5999585.3470510412</v>
      </c>
      <c r="G17" s="33">
        <f t="shared" si="7"/>
        <v>193986592.88798365</v>
      </c>
      <c r="H17" s="92">
        <f t="shared" si="2"/>
        <v>16165549.407331971</v>
      </c>
      <c r="I17" s="96">
        <f t="shared" si="12"/>
        <v>2806327691.2912421</v>
      </c>
      <c r="J17" s="154">
        <f t="shared" si="8"/>
        <v>13759299.407331971</v>
      </c>
      <c r="K17" s="27">
        <f>SUM($G$4:G17)-SUM($P$4:P171)</f>
        <v>2479244612.6026855</v>
      </c>
      <c r="L17" s="23">
        <v>14</v>
      </c>
      <c r="M17" s="76">
        <f t="shared" si="3"/>
        <v>44621</v>
      </c>
      <c r="N17" s="77">
        <f t="shared" si="13"/>
        <v>0</v>
      </c>
      <c r="O17" s="77">
        <f t="shared" si="14"/>
        <v>2625000</v>
      </c>
      <c r="P17" s="24">
        <f t="shared" si="4"/>
        <v>2625000</v>
      </c>
      <c r="Q17" s="77">
        <f t="shared" si="15"/>
        <v>2625000</v>
      </c>
      <c r="R17" s="19">
        <f t="shared" si="9"/>
        <v>0</v>
      </c>
      <c r="S17" s="77">
        <f t="shared" si="10"/>
        <v>525000000</v>
      </c>
      <c r="T17" s="19">
        <f t="shared" si="16"/>
        <v>2625000</v>
      </c>
      <c r="U17" s="62" t="s">
        <v>46</v>
      </c>
      <c r="V17" s="81">
        <v>60</v>
      </c>
      <c r="Y17" s="5"/>
      <c r="Z17" s="5"/>
      <c r="AA17" s="5"/>
    </row>
    <row r="18" spans="1:27" ht="35.25" customHeight="1" thickTop="1" x14ac:dyDescent="0.3">
      <c r="A18" s="2" t="s">
        <v>15</v>
      </c>
      <c r="B18" s="1">
        <f t="shared" si="11"/>
        <v>748580.78589057003</v>
      </c>
      <c r="C18" s="1">
        <f t="shared" si="0"/>
        <v>110086290.37306723</v>
      </c>
      <c r="D18" s="6">
        <f t="shared" si="1"/>
        <v>88899956.970792323</v>
      </c>
      <c r="E18" s="10">
        <f t="shared" si="5"/>
        <v>198986247.34385955</v>
      </c>
      <c r="F18" s="8">
        <f t="shared" si="6"/>
        <v>5969587.4203157863</v>
      </c>
      <c r="G18" s="32">
        <f t="shared" si="7"/>
        <v>193016659.92354378</v>
      </c>
      <c r="H18" s="91">
        <f t="shared" si="2"/>
        <v>16084721.660295315</v>
      </c>
      <c r="I18" s="95">
        <f t="shared" si="12"/>
        <v>2999344351.2147861</v>
      </c>
      <c r="J18" s="129">
        <f t="shared" si="8"/>
        <v>13678471.660295315</v>
      </c>
      <c r="K18" s="26">
        <f>SUM($G$4:G18)-SUM($P$4:P183)</f>
        <v>2670040188.9823942</v>
      </c>
      <c r="L18" s="22">
        <v>15</v>
      </c>
      <c r="M18" s="76">
        <f t="shared" si="3"/>
        <v>44652</v>
      </c>
      <c r="N18" s="77">
        <f t="shared" si="13"/>
        <v>0</v>
      </c>
      <c r="O18" s="77">
        <f t="shared" si="14"/>
        <v>2625000</v>
      </c>
      <c r="P18" s="24">
        <f t="shared" si="4"/>
        <v>2625000</v>
      </c>
      <c r="Q18" s="77">
        <f t="shared" si="15"/>
        <v>2625000</v>
      </c>
      <c r="R18" s="19">
        <f t="shared" si="9"/>
        <v>0</v>
      </c>
      <c r="S18" s="77">
        <f t="shared" si="10"/>
        <v>525000000</v>
      </c>
      <c r="T18" s="19">
        <f t="shared" si="16"/>
        <v>2625000</v>
      </c>
      <c r="U18" s="229" t="s">
        <v>43</v>
      </c>
      <c r="V18" s="230"/>
    </row>
    <row r="19" spans="1:27" ht="35.25" customHeight="1" x14ac:dyDescent="0.3">
      <c r="A19" s="3" t="s">
        <v>16</v>
      </c>
      <c r="B19" s="4">
        <f t="shared" si="11"/>
        <v>744837.88196111715</v>
      </c>
      <c r="C19" s="4">
        <f t="shared" si="0"/>
        <v>109535858.92120188</v>
      </c>
      <c r="D19" s="7">
        <f t="shared" si="1"/>
        <v>88455457.185938358</v>
      </c>
      <c r="E19" s="11">
        <f t="shared" si="5"/>
        <v>197991316.10714024</v>
      </c>
      <c r="F19" s="9">
        <f t="shared" si="6"/>
        <v>5939739.483214207</v>
      </c>
      <c r="G19" s="33">
        <f t="shared" si="7"/>
        <v>192051576.62392604</v>
      </c>
      <c r="H19" s="92">
        <f t="shared" si="2"/>
        <v>16004298.051993838</v>
      </c>
      <c r="I19" s="96">
        <f t="shared" si="12"/>
        <v>3191395927.8387122</v>
      </c>
      <c r="J19" s="154">
        <f t="shared" si="8"/>
        <v>13598048.051993838</v>
      </c>
      <c r="K19" s="27">
        <f>SUM($G$4:G19)-SUM($P$4:P195)</f>
        <v>2862091765.6063204</v>
      </c>
      <c r="L19" s="23">
        <v>16</v>
      </c>
      <c r="M19" s="76">
        <f t="shared" si="3"/>
        <v>44682</v>
      </c>
      <c r="N19" s="77">
        <f t="shared" si="13"/>
        <v>0</v>
      </c>
      <c r="O19" s="77">
        <f t="shared" si="14"/>
        <v>2625000</v>
      </c>
      <c r="P19" s="24">
        <f t="shared" si="4"/>
        <v>2625000</v>
      </c>
      <c r="Q19" s="77">
        <f t="shared" si="15"/>
        <v>2625000</v>
      </c>
      <c r="R19" s="19">
        <f t="shared" si="9"/>
        <v>0</v>
      </c>
      <c r="S19" s="77">
        <f t="shared" si="10"/>
        <v>525000000</v>
      </c>
      <c r="T19" s="19">
        <f t="shared" si="16"/>
        <v>2625000</v>
      </c>
      <c r="U19" s="47" t="s">
        <v>17</v>
      </c>
      <c r="V19" s="48">
        <f>I4/V12</f>
        <v>0.37645145160000004</v>
      </c>
    </row>
    <row r="20" spans="1:27" ht="35.25" customHeight="1" x14ac:dyDescent="0.3">
      <c r="A20" s="2" t="s">
        <v>18</v>
      </c>
      <c r="B20" s="1">
        <f t="shared" si="11"/>
        <v>741113.69255131157</v>
      </c>
      <c r="C20" s="1">
        <f t="shared" si="0"/>
        <v>108988179.62659588</v>
      </c>
      <c r="D20" s="6">
        <f t="shared" si="1"/>
        <v>88013179.900008664</v>
      </c>
      <c r="E20" s="10">
        <f t="shared" si="5"/>
        <v>197001359.52660453</v>
      </c>
      <c r="F20" s="8">
        <f t="shared" si="6"/>
        <v>5910040.7857981361</v>
      </c>
      <c r="G20" s="32">
        <f t="shared" si="7"/>
        <v>191091318.7408064</v>
      </c>
      <c r="H20" s="91">
        <f t="shared" si="2"/>
        <v>15924276.561733866</v>
      </c>
      <c r="I20" s="95">
        <f t="shared" si="12"/>
        <v>3382487246.5795188</v>
      </c>
      <c r="J20" s="129">
        <f t="shared" si="8"/>
        <v>13518026.561733866</v>
      </c>
      <c r="K20" s="26">
        <f>SUM($G$4:G20)-SUM($P$4:P207)</f>
        <v>3053183084.347127</v>
      </c>
      <c r="L20" s="22">
        <v>17</v>
      </c>
      <c r="M20" s="76">
        <f t="shared" si="3"/>
        <v>44713</v>
      </c>
      <c r="N20" s="77">
        <f t="shared" si="13"/>
        <v>0</v>
      </c>
      <c r="O20" s="77">
        <f t="shared" si="14"/>
        <v>2625000</v>
      </c>
      <c r="P20" s="24">
        <f t="shared" si="4"/>
        <v>2625000</v>
      </c>
      <c r="Q20" s="77">
        <f t="shared" si="15"/>
        <v>2625000</v>
      </c>
      <c r="R20" s="19">
        <f t="shared" si="9"/>
        <v>0</v>
      </c>
      <c r="S20" s="77">
        <f t="shared" si="10"/>
        <v>525000000</v>
      </c>
      <c r="T20" s="19">
        <f t="shared" si="16"/>
        <v>2625000</v>
      </c>
      <c r="U20" s="49" t="s">
        <v>20</v>
      </c>
      <c r="V20" s="50">
        <f>V12/I4</f>
        <v>2.6563850285336499</v>
      </c>
    </row>
    <row r="21" spans="1:27" ht="35.25" customHeight="1" x14ac:dyDescent="0.3">
      <c r="A21" s="3" t="s">
        <v>19</v>
      </c>
      <c r="B21" s="4">
        <f t="shared" si="11"/>
        <v>737408.12408855499</v>
      </c>
      <c r="C21" s="4">
        <f t="shared" si="0"/>
        <v>108443238.7284629</v>
      </c>
      <c r="D21" s="7">
        <f t="shared" si="1"/>
        <v>87573114.000508606</v>
      </c>
      <c r="E21" s="11">
        <f t="shared" si="5"/>
        <v>196016352.72897151</v>
      </c>
      <c r="F21" s="9">
        <f t="shared" si="6"/>
        <v>5880490.5818691449</v>
      </c>
      <c r="G21" s="33">
        <f t="shared" si="7"/>
        <v>190135862.14710236</v>
      </c>
      <c r="H21" s="92">
        <f t="shared" si="2"/>
        <v>15844655.178925196</v>
      </c>
      <c r="I21" s="96">
        <f t="shared" si="12"/>
        <v>3572623108.7266212</v>
      </c>
      <c r="J21" s="154">
        <f t="shared" si="8"/>
        <v>13438405.178925196</v>
      </c>
      <c r="K21" s="27">
        <f>SUM($G$4:G21)-SUM($P$4:P219)</f>
        <v>3243318946.4942293</v>
      </c>
      <c r="L21" s="23">
        <v>18</v>
      </c>
      <c r="M21" s="76">
        <f t="shared" si="3"/>
        <v>44743</v>
      </c>
      <c r="N21" s="77">
        <f t="shared" si="13"/>
        <v>0</v>
      </c>
      <c r="O21" s="77">
        <f t="shared" si="14"/>
        <v>2625000</v>
      </c>
      <c r="P21" s="24">
        <f t="shared" si="4"/>
        <v>2625000</v>
      </c>
      <c r="Q21" s="77">
        <f t="shared" si="15"/>
        <v>2625000</v>
      </c>
      <c r="R21" s="19">
        <f t="shared" si="9"/>
        <v>0</v>
      </c>
      <c r="S21" s="77">
        <f t="shared" si="10"/>
        <v>525000000</v>
      </c>
      <c r="T21" s="19">
        <f t="shared" si="16"/>
        <v>2625000</v>
      </c>
      <c r="U21" s="51" t="s">
        <v>39</v>
      </c>
      <c r="V21" s="52">
        <f>I23</f>
        <v>3950047548.4851727</v>
      </c>
    </row>
    <row r="22" spans="1:27" ht="35.25" customHeight="1" x14ac:dyDescent="0.3">
      <c r="A22" s="2" t="s">
        <v>21</v>
      </c>
      <c r="B22" s="1">
        <f t="shared" si="11"/>
        <v>733721.08346811216</v>
      </c>
      <c r="C22" s="1">
        <f t="shared" si="0"/>
        <v>107901022.53482057</v>
      </c>
      <c r="D22" s="6">
        <f t="shared" si="1"/>
        <v>87135248.430506065</v>
      </c>
      <c r="E22" s="10">
        <f t="shared" si="5"/>
        <v>195036270.96532664</v>
      </c>
      <c r="F22" s="8">
        <f t="shared" si="6"/>
        <v>5851088.1289597992</v>
      </c>
      <c r="G22" s="32">
        <f t="shared" si="7"/>
        <v>189185182.83636683</v>
      </c>
      <c r="H22" s="91">
        <f t="shared" si="2"/>
        <v>15765431.903030569</v>
      </c>
      <c r="I22" s="95">
        <f t="shared" si="12"/>
        <v>3761808291.5629878</v>
      </c>
      <c r="J22" s="129">
        <f t="shared" si="8"/>
        <v>13359181.903030569</v>
      </c>
      <c r="K22" s="26">
        <f>SUM($G$4:G22)-SUM($P$4:P231)</f>
        <v>3432504129.330596</v>
      </c>
      <c r="L22" s="22">
        <v>19</v>
      </c>
      <c r="M22" s="76">
        <f t="shared" si="3"/>
        <v>44774</v>
      </c>
      <c r="N22" s="77">
        <f t="shared" si="13"/>
        <v>0</v>
      </c>
      <c r="O22" s="77">
        <f t="shared" si="14"/>
        <v>2625000</v>
      </c>
      <c r="P22" s="24">
        <f t="shared" si="4"/>
        <v>2625000</v>
      </c>
      <c r="Q22" s="77">
        <f t="shared" si="15"/>
        <v>2625000</v>
      </c>
      <c r="R22" s="19">
        <f t="shared" si="9"/>
        <v>0</v>
      </c>
      <c r="S22" s="77">
        <f t="shared" si="10"/>
        <v>525000000</v>
      </c>
      <c r="T22" s="19">
        <f t="shared" si="16"/>
        <v>2625000</v>
      </c>
      <c r="U22" s="53" t="s">
        <v>40</v>
      </c>
      <c r="V22" s="54">
        <f>K23</f>
        <v>3620743386.2527809</v>
      </c>
    </row>
    <row r="23" spans="1:27" ht="35.25" customHeight="1" thickBot="1" x14ac:dyDescent="0.35">
      <c r="A23" s="13" t="s">
        <v>22</v>
      </c>
      <c r="B23" s="14">
        <f>B22*0.995</f>
        <v>730052.47805077164</v>
      </c>
      <c r="C23" s="14">
        <f t="shared" si="0"/>
        <v>107361517.42214648</v>
      </c>
      <c r="D23" s="15">
        <f t="shared" si="1"/>
        <v>86699572.188353539</v>
      </c>
      <c r="E23" s="12">
        <f t="shared" si="5"/>
        <v>194061089.61050004</v>
      </c>
      <c r="F23" s="16">
        <f t="shared" si="6"/>
        <v>5821832.6883150013</v>
      </c>
      <c r="G23" s="34">
        <f t="shared" si="7"/>
        <v>188239256.92218503</v>
      </c>
      <c r="H23" s="93">
        <f t="shared" si="2"/>
        <v>15686604.743515419</v>
      </c>
      <c r="I23" s="97">
        <f t="shared" si="12"/>
        <v>3950047548.4851727</v>
      </c>
      <c r="J23" s="28">
        <f>H23-(SUM($P$4:$P$15)/12)</f>
        <v>13280354.743515419</v>
      </c>
      <c r="K23" s="29">
        <f>SUM($G$4:G23)-SUM($P$4:P243)</f>
        <v>3620743386.2527809</v>
      </c>
      <c r="L23" s="23">
        <v>20</v>
      </c>
      <c r="M23" s="76">
        <f t="shared" si="3"/>
        <v>44805</v>
      </c>
      <c r="N23" s="77">
        <f t="shared" si="13"/>
        <v>0</v>
      </c>
      <c r="O23" s="77">
        <f t="shared" si="14"/>
        <v>2625000</v>
      </c>
      <c r="P23" s="24">
        <f t="shared" si="4"/>
        <v>2625000</v>
      </c>
      <c r="Q23" s="77">
        <f t="shared" si="15"/>
        <v>2625000</v>
      </c>
      <c r="R23" s="19">
        <f t="shared" si="9"/>
        <v>0</v>
      </c>
      <c r="S23" s="77">
        <f t="shared" si="10"/>
        <v>525000000</v>
      </c>
      <c r="T23" s="19">
        <f t="shared" si="16"/>
        <v>2625000</v>
      </c>
      <c r="U23" s="84"/>
      <c r="V23" s="85"/>
    </row>
    <row r="24" spans="1:27" ht="45" customHeight="1" thickBot="1" x14ac:dyDescent="0.35">
      <c r="A24" s="258" t="s">
        <v>108</v>
      </c>
      <c r="B24" s="259"/>
      <c r="C24" s="259"/>
      <c r="D24" s="259"/>
      <c r="E24" s="259"/>
      <c r="F24" s="259"/>
      <c r="G24" s="259"/>
      <c r="H24" s="25"/>
      <c r="I24" s="25"/>
      <c r="J24" s="25"/>
      <c r="K24" s="25"/>
      <c r="L24" s="19">
        <v>21</v>
      </c>
      <c r="M24" s="76">
        <f t="shared" si="3"/>
        <v>44835</v>
      </c>
      <c r="N24" s="77">
        <f t="shared" si="13"/>
        <v>0</v>
      </c>
      <c r="O24" s="77">
        <f t="shared" si="14"/>
        <v>2625000</v>
      </c>
      <c r="P24" s="24">
        <f t="shared" si="4"/>
        <v>2625000</v>
      </c>
      <c r="Q24" s="77">
        <f t="shared" si="15"/>
        <v>2625000</v>
      </c>
      <c r="R24" s="19">
        <f t="shared" si="9"/>
        <v>0</v>
      </c>
      <c r="S24" s="77">
        <f t="shared" si="10"/>
        <v>525000000</v>
      </c>
      <c r="T24" s="19">
        <f t="shared" si="16"/>
        <v>2625000</v>
      </c>
      <c r="U24" s="25"/>
      <c r="V24" s="36"/>
    </row>
    <row r="25" spans="1:27" s="17" customFormat="1" ht="41.25" customHeight="1" x14ac:dyDescent="0.3">
      <c r="A25" s="217"/>
      <c r="B25" s="217"/>
      <c r="C25" s="217"/>
      <c r="D25" s="217"/>
      <c r="E25" s="217"/>
      <c r="F25" s="217"/>
      <c r="G25" s="217"/>
      <c r="H25" s="78"/>
      <c r="I25" s="78"/>
      <c r="J25" s="78"/>
      <c r="K25" s="78"/>
      <c r="L25" s="19">
        <v>22</v>
      </c>
      <c r="M25" s="76">
        <f t="shared" si="3"/>
        <v>44866</v>
      </c>
      <c r="N25" s="77">
        <f t="shared" si="13"/>
        <v>0</v>
      </c>
      <c r="O25" s="77">
        <f t="shared" si="14"/>
        <v>2625000</v>
      </c>
      <c r="P25" s="24">
        <f t="shared" si="4"/>
        <v>2625000</v>
      </c>
      <c r="Q25" s="77">
        <f t="shared" si="15"/>
        <v>2625000</v>
      </c>
      <c r="R25" s="19">
        <f t="shared" si="9"/>
        <v>0</v>
      </c>
      <c r="S25" s="77">
        <f t="shared" si="10"/>
        <v>525000000</v>
      </c>
      <c r="T25" s="19">
        <f t="shared" si="16"/>
        <v>2625000</v>
      </c>
      <c r="U25" s="78"/>
      <c r="V25" s="78"/>
    </row>
    <row r="26" spans="1:27" x14ac:dyDescent="0.3">
      <c r="L26" s="19">
        <v>23</v>
      </c>
      <c r="M26" s="76">
        <f t="shared" si="3"/>
        <v>44896</v>
      </c>
      <c r="N26" s="77">
        <f t="shared" si="13"/>
        <v>0</v>
      </c>
      <c r="O26" s="77">
        <f t="shared" si="14"/>
        <v>2625000</v>
      </c>
      <c r="P26" s="24">
        <f t="shared" si="4"/>
        <v>2625000</v>
      </c>
      <c r="Q26" s="77">
        <f t="shared" si="15"/>
        <v>2625000</v>
      </c>
      <c r="R26" s="19">
        <f t="shared" si="9"/>
        <v>0</v>
      </c>
      <c r="S26" s="77">
        <f t="shared" si="10"/>
        <v>525000000</v>
      </c>
      <c r="T26" s="19">
        <f t="shared" si="16"/>
        <v>2625000</v>
      </c>
    </row>
    <row r="27" spans="1:27" x14ac:dyDescent="0.3">
      <c r="L27" s="20">
        <v>24</v>
      </c>
      <c r="M27" s="76">
        <f t="shared" si="3"/>
        <v>44927</v>
      </c>
      <c r="N27" s="77">
        <f t="shared" si="13"/>
        <v>0</v>
      </c>
      <c r="O27" s="77">
        <f t="shared" si="14"/>
        <v>2625000</v>
      </c>
      <c r="P27" s="24">
        <f t="shared" si="4"/>
        <v>2625000</v>
      </c>
      <c r="Q27" s="77">
        <f t="shared" si="15"/>
        <v>2625000</v>
      </c>
      <c r="R27" s="19">
        <f t="shared" si="9"/>
        <v>0</v>
      </c>
      <c r="S27" s="77">
        <f t="shared" si="10"/>
        <v>525000000</v>
      </c>
      <c r="T27" s="19">
        <f t="shared" si="16"/>
        <v>2625000</v>
      </c>
    </row>
    <row r="28" spans="1:27" x14ac:dyDescent="0.3">
      <c r="L28" s="19">
        <v>25</v>
      </c>
      <c r="M28" s="76">
        <f t="shared" si="3"/>
        <v>44958</v>
      </c>
      <c r="N28" s="77">
        <f t="shared" si="13"/>
        <v>0</v>
      </c>
      <c r="O28" s="77">
        <f t="shared" si="14"/>
        <v>2625000</v>
      </c>
      <c r="P28" s="24">
        <f t="shared" si="4"/>
        <v>2625000</v>
      </c>
      <c r="Q28" s="77">
        <f t="shared" si="15"/>
        <v>2625000</v>
      </c>
      <c r="R28" s="19">
        <f t="shared" si="9"/>
        <v>0</v>
      </c>
      <c r="S28" s="77">
        <f t="shared" si="10"/>
        <v>525000000</v>
      </c>
      <c r="T28" s="19">
        <f t="shared" si="16"/>
        <v>2625000</v>
      </c>
    </row>
    <row r="29" spans="1:27" x14ac:dyDescent="0.3">
      <c r="L29" s="20">
        <v>26</v>
      </c>
      <c r="M29" s="76">
        <f t="shared" si="3"/>
        <v>44986</v>
      </c>
      <c r="N29" s="77">
        <f t="shared" si="13"/>
        <v>0</v>
      </c>
      <c r="O29" s="77">
        <f t="shared" si="14"/>
        <v>2625000</v>
      </c>
      <c r="P29" s="24">
        <f t="shared" si="4"/>
        <v>2625000</v>
      </c>
      <c r="Q29" s="77">
        <f t="shared" si="15"/>
        <v>2625000</v>
      </c>
      <c r="R29" s="19">
        <f t="shared" si="9"/>
        <v>0</v>
      </c>
      <c r="S29" s="77">
        <f t="shared" si="10"/>
        <v>525000000</v>
      </c>
      <c r="T29" s="19">
        <f t="shared" si="16"/>
        <v>2625000</v>
      </c>
    </row>
    <row r="30" spans="1:27" x14ac:dyDescent="0.3">
      <c r="L30" s="19">
        <v>27</v>
      </c>
      <c r="M30" s="76">
        <f t="shared" si="3"/>
        <v>45017</v>
      </c>
      <c r="N30" s="77">
        <f t="shared" si="13"/>
        <v>0</v>
      </c>
      <c r="O30" s="77">
        <f t="shared" si="14"/>
        <v>2625000</v>
      </c>
      <c r="P30" s="24">
        <f t="shared" si="4"/>
        <v>2625000</v>
      </c>
      <c r="Q30" s="77">
        <f t="shared" si="15"/>
        <v>2625000</v>
      </c>
      <c r="R30" s="19">
        <f t="shared" si="9"/>
        <v>0</v>
      </c>
      <c r="S30" s="77">
        <f t="shared" si="10"/>
        <v>525000000</v>
      </c>
      <c r="T30" s="19">
        <f t="shared" si="16"/>
        <v>2625000</v>
      </c>
    </row>
    <row r="31" spans="1:27" x14ac:dyDescent="0.3">
      <c r="L31" s="20">
        <v>28</v>
      </c>
      <c r="M31" s="76">
        <f t="shared" si="3"/>
        <v>45047</v>
      </c>
      <c r="N31" s="77">
        <f t="shared" si="13"/>
        <v>0</v>
      </c>
      <c r="O31" s="77">
        <f t="shared" si="14"/>
        <v>2625000</v>
      </c>
      <c r="P31" s="24">
        <f t="shared" si="4"/>
        <v>2625000</v>
      </c>
      <c r="Q31" s="77">
        <f t="shared" si="15"/>
        <v>2625000</v>
      </c>
      <c r="R31" s="19">
        <f t="shared" si="9"/>
        <v>0</v>
      </c>
      <c r="S31" s="77">
        <f t="shared" si="10"/>
        <v>525000000</v>
      </c>
      <c r="T31" s="19">
        <f t="shared" si="16"/>
        <v>2625000</v>
      </c>
    </row>
    <row r="32" spans="1:27" x14ac:dyDescent="0.3">
      <c r="L32" s="19">
        <v>29</v>
      </c>
      <c r="M32" s="76">
        <f t="shared" si="3"/>
        <v>45078</v>
      </c>
      <c r="N32" s="77">
        <f t="shared" si="13"/>
        <v>0</v>
      </c>
      <c r="O32" s="77">
        <f t="shared" si="14"/>
        <v>2625000</v>
      </c>
      <c r="P32" s="24">
        <f t="shared" si="4"/>
        <v>2625000</v>
      </c>
      <c r="Q32" s="77">
        <f t="shared" si="15"/>
        <v>2625000</v>
      </c>
      <c r="R32" s="19">
        <f t="shared" si="9"/>
        <v>0</v>
      </c>
      <c r="S32" s="77">
        <f t="shared" si="10"/>
        <v>525000000</v>
      </c>
      <c r="T32" s="19">
        <f t="shared" si="16"/>
        <v>2625000</v>
      </c>
    </row>
    <row r="33" spans="12:20" x14ac:dyDescent="0.3">
      <c r="L33" s="20">
        <v>30</v>
      </c>
      <c r="M33" s="76">
        <f t="shared" si="3"/>
        <v>45108</v>
      </c>
      <c r="N33" s="77">
        <f t="shared" si="13"/>
        <v>0</v>
      </c>
      <c r="O33" s="77">
        <f t="shared" si="14"/>
        <v>2625000</v>
      </c>
      <c r="P33" s="24">
        <f t="shared" si="4"/>
        <v>2625000</v>
      </c>
      <c r="Q33" s="77">
        <f t="shared" si="15"/>
        <v>2625000</v>
      </c>
      <c r="R33" s="19">
        <f t="shared" si="9"/>
        <v>0</v>
      </c>
      <c r="S33" s="77">
        <f t="shared" si="10"/>
        <v>525000000</v>
      </c>
      <c r="T33" s="19">
        <f t="shared" si="16"/>
        <v>2625000</v>
      </c>
    </row>
    <row r="34" spans="12:20" x14ac:dyDescent="0.3">
      <c r="L34" s="19">
        <v>31</v>
      </c>
      <c r="M34" s="76">
        <f t="shared" si="3"/>
        <v>45139</v>
      </c>
      <c r="N34" s="77">
        <f t="shared" si="13"/>
        <v>0</v>
      </c>
      <c r="O34" s="77">
        <f t="shared" si="14"/>
        <v>2625000</v>
      </c>
      <c r="P34" s="24">
        <f t="shared" si="4"/>
        <v>2625000</v>
      </c>
      <c r="Q34" s="77">
        <f t="shared" si="15"/>
        <v>2625000</v>
      </c>
      <c r="R34" s="19">
        <f t="shared" si="9"/>
        <v>0</v>
      </c>
      <c r="S34" s="77">
        <f t="shared" si="10"/>
        <v>525000000</v>
      </c>
      <c r="T34" s="19">
        <f t="shared" si="16"/>
        <v>2625000</v>
      </c>
    </row>
    <row r="35" spans="12:20" x14ac:dyDescent="0.3">
      <c r="L35" s="20">
        <v>32</v>
      </c>
      <c r="M35" s="76">
        <f t="shared" si="3"/>
        <v>45170</v>
      </c>
      <c r="N35" s="77">
        <f t="shared" si="13"/>
        <v>0</v>
      </c>
      <c r="O35" s="77">
        <f t="shared" si="14"/>
        <v>2625000</v>
      </c>
      <c r="P35" s="24">
        <f t="shared" si="4"/>
        <v>2625000</v>
      </c>
      <c r="Q35" s="77">
        <f t="shared" si="15"/>
        <v>2625000</v>
      </c>
      <c r="R35" s="19">
        <f t="shared" si="9"/>
        <v>0</v>
      </c>
      <c r="S35" s="77">
        <f t="shared" si="10"/>
        <v>525000000</v>
      </c>
      <c r="T35" s="19">
        <f t="shared" si="16"/>
        <v>2625000</v>
      </c>
    </row>
    <row r="36" spans="12:20" x14ac:dyDescent="0.3">
      <c r="L36" s="19">
        <v>33</v>
      </c>
      <c r="M36" s="76">
        <f t="shared" si="3"/>
        <v>45200</v>
      </c>
      <c r="N36" s="77">
        <f t="shared" si="13"/>
        <v>0</v>
      </c>
      <c r="O36" s="77">
        <f t="shared" si="14"/>
        <v>2625000</v>
      </c>
      <c r="P36" s="24">
        <f t="shared" si="4"/>
        <v>2625000</v>
      </c>
      <c r="Q36" s="77">
        <f t="shared" si="15"/>
        <v>2625000</v>
      </c>
      <c r="R36" s="19">
        <f t="shared" si="9"/>
        <v>0</v>
      </c>
      <c r="S36" s="77">
        <f t="shared" si="10"/>
        <v>525000000</v>
      </c>
      <c r="T36" s="19">
        <f t="shared" si="16"/>
        <v>2625000</v>
      </c>
    </row>
    <row r="37" spans="12:20" x14ac:dyDescent="0.3">
      <c r="L37" s="20">
        <v>34</v>
      </c>
      <c r="M37" s="76">
        <f t="shared" si="3"/>
        <v>45231</v>
      </c>
      <c r="N37" s="77">
        <f t="shared" si="13"/>
        <v>0</v>
      </c>
      <c r="O37" s="77">
        <f t="shared" si="14"/>
        <v>2625000</v>
      </c>
      <c r="P37" s="24">
        <f t="shared" si="4"/>
        <v>2625000</v>
      </c>
      <c r="Q37" s="77">
        <f t="shared" si="15"/>
        <v>2625000</v>
      </c>
      <c r="R37" s="19">
        <f t="shared" si="9"/>
        <v>0</v>
      </c>
      <c r="S37" s="77">
        <f t="shared" si="10"/>
        <v>525000000</v>
      </c>
      <c r="T37" s="19">
        <f t="shared" si="16"/>
        <v>2625000</v>
      </c>
    </row>
    <row r="38" spans="12:20" x14ac:dyDescent="0.3">
      <c r="L38" s="19">
        <v>35</v>
      </c>
      <c r="M38" s="76">
        <f t="shared" si="3"/>
        <v>45261</v>
      </c>
      <c r="N38" s="77">
        <f t="shared" si="13"/>
        <v>0</v>
      </c>
      <c r="O38" s="77">
        <f t="shared" si="14"/>
        <v>2625000</v>
      </c>
      <c r="P38" s="24">
        <f t="shared" si="4"/>
        <v>2625000</v>
      </c>
      <c r="Q38" s="77">
        <f t="shared" si="15"/>
        <v>2625000</v>
      </c>
      <c r="R38" s="19">
        <f t="shared" si="9"/>
        <v>0</v>
      </c>
      <c r="S38" s="77">
        <f t="shared" si="10"/>
        <v>525000000</v>
      </c>
      <c r="T38" s="19">
        <f t="shared" si="16"/>
        <v>2625000</v>
      </c>
    </row>
    <row r="39" spans="12:20" x14ac:dyDescent="0.3">
      <c r="L39" s="20">
        <v>36</v>
      </c>
      <c r="M39" s="76">
        <f t="shared" si="3"/>
        <v>45292</v>
      </c>
      <c r="N39" s="77">
        <f t="shared" si="13"/>
        <v>0</v>
      </c>
      <c r="O39" s="77">
        <f t="shared" si="14"/>
        <v>2625000</v>
      </c>
      <c r="P39" s="24">
        <f t="shared" si="4"/>
        <v>2625000</v>
      </c>
      <c r="Q39" s="77">
        <f t="shared" si="15"/>
        <v>2625000</v>
      </c>
      <c r="R39" s="19">
        <f t="shared" si="9"/>
        <v>0</v>
      </c>
      <c r="S39" s="77">
        <f t="shared" si="10"/>
        <v>525000000</v>
      </c>
      <c r="T39" s="19">
        <f t="shared" si="16"/>
        <v>2625000</v>
      </c>
    </row>
    <row r="40" spans="12:20" x14ac:dyDescent="0.3">
      <c r="L40" s="19">
        <v>37</v>
      </c>
      <c r="M40" s="76">
        <f t="shared" si="3"/>
        <v>45323</v>
      </c>
      <c r="N40" s="77">
        <f t="shared" si="13"/>
        <v>0</v>
      </c>
      <c r="O40" s="77">
        <f t="shared" si="14"/>
        <v>2625000</v>
      </c>
      <c r="P40" s="24">
        <f t="shared" si="4"/>
        <v>2625000</v>
      </c>
      <c r="Q40" s="77">
        <f t="shared" si="15"/>
        <v>2625000</v>
      </c>
      <c r="R40" s="19">
        <f t="shared" si="9"/>
        <v>0</v>
      </c>
      <c r="S40" s="77">
        <f t="shared" si="10"/>
        <v>525000000</v>
      </c>
      <c r="T40" s="19">
        <f t="shared" si="16"/>
        <v>2625000</v>
      </c>
    </row>
    <row r="41" spans="12:20" x14ac:dyDescent="0.3">
      <c r="L41" s="20">
        <v>38</v>
      </c>
      <c r="M41" s="76">
        <f t="shared" si="3"/>
        <v>45352</v>
      </c>
      <c r="N41" s="77">
        <f t="shared" si="13"/>
        <v>0</v>
      </c>
      <c r="O41" s="77">
        <f t="shared" si="14"/>
        <v>2625000</v>
      </c>
      <c r="P41" s="24">
        <f t="shared" si="4"/>
        <v>2625000</v>
      </c>
      <c r="Q41" s="77">
        <f t="shared" si="15"/>
        <v>2625000</v>
      </c>
      <c r="R41" s="19">
        <f t="shared" si="9"/>
        <v>0</v>
      </c>
      <c r="S41" s="77">
        <f t="shared" si="10"/>
        <v>525000000</v>
      </c>
      <c r="T41" s="19">
        <f t="shared" si="16"/>
        <v>2625000</v>
      </c>
    </row>
    <row r="42" spans="12:20" x14ac:dyDescent="0.3">
      <c r="L42" s="19">
        <v>39</v>
      </c>
      <c r="M42" s="76">
        <f t="shared" si="3"/>
        <v>45383</v>
      </c>
      <c r="N42" s="77">
        <f t="shared" si="13"/>
        <v>0</v>
      </c>
      <c r="O42" s="77">
        <f t="shared" si="14"/>
        <v>2625000</v>
      </c>
      <c r="P42" s="24">
        <f t="shared" si="4"/>
        <v>2625000</v>
      </c>
      <c r="Q42" s="77">
        <f t="shared" si="15"/>
        <v>2625000</v>
      </c>
      <c r="R42" s="19">
        <f t="shared" si="9"/>
        <v>0</v>
      </c>
      <c r="S42" s="77">
        <f t="shared" si="10"/>
        <v>525000000</v>
      </c>
      <c r="T42" s="19">
        <f t="shared" si="16"/>
        <v>2625000</v>
      </c>
    </row>
    <row r="43" spans="12:20" x14ac:dyDescent="0.3">
      <c r="L43" s="20">
        <v>40</v>
      </c>
      <c r="M43" s="76">
        <f t="shared" si="3"/>
        <v>45413</v>
      </c>
      <c r="N43" s="77">
        <f t="shared" si="13"/>
        <v>0</v>
      </c>
      <c r="O43" s="77">
        <f t="shared" si="14"/>
        <v>2625000</v>
      </c>
      <c r="P43" s="24">
        <f t="shared" si="4"/>
        <v>2625000</v>
      </c>
      <c r="Q43" s="77">
        <f t="shared" si="15"/>
        <v>2625000</v>
      </c>
      <c r="R43" s="19">
        <f t="shared" si="9"/>
        <v>0</v>
      </c>
      <c r="S43" s="77">
        <f t="shared" si="10"/>
        <v>525000000</v>
      </c>
      <c r="T43" s="19">
        <f t="shared" si="16"/>
        <v>2625000</v>
      </c>
    </row>
    <row r="44" spans="12:20" x14ac:dyDescent="0.3">
      <c r="L44" s="19">
        <v>41</v>
      </c>
      <c r="M44" s="76">
        <f t="shared" si="3"/>
        <v>45444</v>
      </c>
      <c r="N44" s="77">
        <f t="shared" si="13"/>
        <v>0</v>
      </c>
      <c r="O44" s="77">
        <f t="shared" si="14"/>
        <v>2625000</v>
      </c>
      <c r="P44" s="24">
        <f t="shared" si="4"/>
        <v>2625000</v>
      </c>
      <c r="Q44" s="77">
        <f t="shared" si="15"/>
        <v>2625000</v>
      </c>
      <c r="R44" s="19">
        <f t="shared" si="9"/>
        <v>0</v>
      </c>
      <c r="S44" s="77">
        <f t="shared" si="10"/>
        <v>525000000</v>
      </c>
      <c r="T44" s="19">
        <f t="shared" si="16"/>
        <v>2625000</v>
      </c>
    </row>
    <row r="45" spans="12:20" x14ac:dyDescent="0.3">
      <c r="L45" s="20">
        <v>42</v>
      </c>
      <c r="M45" s="76">
        <f t="shared" si="3"/>
        <v>45474</v>
      </c>
      <c r="N45" s="77">
        <f t="shared" si="13"/>
        <v>0</v>
      </c>
      <c r="O45" s="77">
        <f t="shared" si="14"/>
        <v>2625000</v>
      </c>
      <c r="P45" s="24">
        <f t="shared" si="4"/>
        <v>2625000</v>
      </c>
      <c r="Q45" s="77">
        <f t="shared" si="15"/>
        <v>2625000</v>
      </c>
      <c r="R45" s="19">
        <f t="shared" si="9"/>
        <v>0</v>
      </c>
      <c r="S45" s="77">
        <f t="shared" si="10"/>
        <v>525000000</v>
      </c>
      <c r="T45" s="19">
        <f t="shared" si="16"/>
        <v>2625000</v>
      </c>
    </row>
    <row r="46" spans="12:20" x14ac:dyDescent="0.3">
      <c r="L46" s="19">
        <v>43</v>
      </c>
      <c r="M46" s="76">
        <f t="shared" si="3"/>
        <v>45505</v>
      </c>
      <c r="N46" s="77">
        <f t="shared" si="13"/>
        <v>0</v>
      </c>
      <c r="O46" s="77">
        <f t="shared" si="14"/>
        <v>2625000</v>
      </c>
      <c r="P46" s="24">
        <f t="shared" si="4"/>
        <v>2625000</v>
      </c>
      <c r="Q46" s="77">
        <f t="shared" si="15"/>
        <v>2625000</v>
      </c>
      <c r="R46" s="19">
        <f t="shared" si="9"/>
        <v>0</v>
      </c>
      <c r="S46" s="77">
        <f t="shared" si="10"/>
        <v>525000000</v>
      </c>
      <c r="T46" s="19">
        <f t="shared" si="16"/>
        <v>2625000</v>
      </c>
    </row>
    <row r="47" spans="12:20" x14ac:dyDescent="0.3">
      <c r="L47" s="20">
        <v>44</v>
      </c>
      <c r="M47" s="76">
        <f t="shared" si="3"/>
        <v>45536</v>
      </c>
      <c r="N47" s="77">
        <f t="shared" si="13"/>
        <v>0</v>
      </c>
      <c r="O47" s="77">
        <f t="shared" si="14"/>
        <v>2625000</v>
      </c>
      <c r="P47" s="24">
        <f t="shared" si="4"/>
        <v>2625000</v>
      </c>
      <c r="Q47" s="77">
        <f t="shared" si="15"/>
        <v>2625000</v>
      </c>
      <c r="R47" s="19">
        <f t="shared" si="9"/>
        <v>0</v>
      </c>
      <c r="S47" s="77">
        <f t="shared" si="10"/>
        <v>525000000</v>
      </c>
      <c r="T47" s="19">
        <f t="shared" si="16"/>
        <v>2625000</v>
      </c>
    </row>
    <row r="48" spans="12:20" x14ac:dyDescent="0.3">
      <c r="L48" s="19">
        <v>45</v>
      </c>
      <c r="M48" s="76">
        <f t="shared" si="3"/>
        <v>45566</v>
      </c>
      <c r="N48" s="77">
        <f t="shared" si="13"/>
        <v>0</v>
      </c>
      <c r="O48" s="77">
        <f t="shared" si="14"/>
        <v>2625000</v>
      </c>
      <c r="P48" s="24">
        <f t="shared" si="4"/>
        <v>2625000</v>
      </c>
      <c r="Q48" s="77">
        <f t="shared" si="15"/>
        <v>2625000</v>
      </c>
      <c r="R48" s="19">
        <f t="shared" si="9"/>
        <v>0</v>
      </c>
      <c r="S48" s="77">
        <f t="shared" si="10"/>
        <v>525000000</v>
      </c>
      <c r="T48" s="19">
        <f t="shared" si="16"/>
        <v>2625000</v>
      </c>
    </row>
    <row r="49" spans="12:20" x14ac:dyDescent="0.3">
      <c r="L49" s="20">
        <v>46</v>
      </c>
      <c r="M49" s="76">
        <f t="shared" si="3"/>
        <v>45597</v>
      </c>
      <c r="N49" s="77">
        <f t="shared" si="13"/>
        <v>0</v>
      </c>
      <c r="O49" s="77">
        <f t="shared" si="14"/>
        <v>2625000</v>
      </c>
      <c r="P49" s="24">
        <f t="shared" si="4"/>
        <v>2625000</v>
      </c>
      <c r="Q49" s="77">
        <f t="shared" si="15"/>
        <v>2625000</v>
      </c>
      <c r="R49" s="19">
        <f t="shared" si="9"/>
        <v>0</v>
      </c>
      <c r="S49" s="77">
        <f t="shared" si="10"/>
        <v>525000000</v>
      </c>
      <c r="T49" s="19">
        <f t="shared" si="16"/>
        <v>2625000</v>
      </c>
    </row>
    <row r="50" spans="12:20" x14ac:dyDescent="0.3">
      <c r="L50" s="19">
        <v>47</v>
      </c>
      <c r="M50" s="76">
        <f t="shared" si="3"/>
        <v>45627</v>
      </c>
      <c r="N50" s="77">
        <f t="shared" si="13"/>
        <v>0</v>
      </c>
      <c r="O50" s="77">
        <f t="shared" si="14"/>
        <v>2625000</v>
      </c>
      <c r="P50" s="24">
        <f t="shared" si="4"/>
        <v>2625000</v>
      </c>
      <c r="Q50" s="77">
        <f t="shared" si="15"/>
        <v>2625000</v>
      </c>
      <c r="R50" s="19">
        <f t="shared" si="9"/>
        <v>0</v>
      </c>
      <c r="S50" s="77">
        <f t="shared" si="10"/>
        <v>525000000</v>
      </c>
      <c r="T50" s="19">
        <f t="shared" si="16"/>
        <v>2625000</v>
      </c>
    </row>
    <row r="51" spans="12:20" x14ac:dyDescent="0.3">
      <c r="L51" s="20">
        <v>48</v>
      </c>
      <c r="M51" s="76">
        <f t="shared" si="3"/>
        <v>45658</v>
      </c>
      <c r="N51" s="77">
        <f t="shared" si="13"/>
        <v>0</v>
      </c>
      <c r="O51" s="77">
        <f t="shared" si="14"/>
        <v>2625000</v>
      </c>
      <c r="P51" s="24">
        <f t="shared" si="4"/>
        <v>2625000</v>
      </c>
      <c r="Q51" s="77">
        <f t="shared" si="15"/>
        <v>2625000</v>
      </c>
      <c r="R51" s="19">
        <f t="shared" si="9"/>
        <v>0</v>
      </c>
      <c r="S51" s="77">
        <f t="shared" si="10"/>
        <v>525000000</v>
      </c>
      <c r="T51" s="19">
        <f t="shared" si="16"/>
        <v>2625000</v>
      </c>
    </row>
    <row r="52" spans="12:20" x14ac:dyDescent="0.3">
      <c r="L52" s="19">
        <v>49</v>
      </c>
      <c r="M52" s="76">
        <f t="shared" si="3"/>
        <v>45689</v>
      </c>
      <c r="N52" s="77">
        <f t="shared" si="13"/>
        <v>0</v>
      </c>
      <c r="O52" s="77">
        <f t="shared" si="14"/>
        <v>2625000</v>
      </c>
      <c r="P52" s="24">
        <f t="shared" si="4"/>
        <v>2625000</v>
      </c>
      <c r="Q52" s="77">
        <f t="shared" si="15"/>
        <v>2625000</v>
      </c>
      <c r="R52" s="19">
        <f t="shared" si="9"/>
        <v>0</v>
      </c>
      <c r="S52" s="77">
        <f t="shared" si="10"/>
        <v>525000000</v>
      </c>
      <c r="T52" s="19">
        <f t="shared" si="16"/>
        <v>2625000</v>
      </c>
    </row>
    <row r="53" spans="12:20" x14ac:dyDescent="0.3">
      <c r="L53" s="20">
        <v>50</v>
      </c>
      <c r="M53" s="76">
        <f t="shared" si="3"/>
        <v>45717</v>
      </c>
      <c r="N53" s="77">
        <f t="shared" si="13"/>
        <v>0</v>
      </c>
      <c r="O53" s="77">
        <f t="shared" si="14"/>
        <v>2625000</v>
      </c>
      <c r="P53" s="24">
        <f t="shared" si="4"/>
        <v>2625000</v>
      </c>
      <c r="Q53" s="77">
        <f t="shared" si="15"/>
        <v>2625000</v>
      </c>
      <c r="R53" s="19">
        <f t="shared" si="9"/>
        <v>0</v>
      </c>
      <c r="S53" s="77">
        <f t="shared" si="10"/>
        <v>525000000</v>
      </c>
      <c r="T53" s="19">
        <f t="shared" si="16"/>
        <v>2625000</v>
      </c>
    </row>
    <row r="54" spans="12:20" x14ac:dyDescent="0.3">
      <c r="L54" s="19">
        <v>51</v>
      </c>
      <c r="M54" s="76">
        <f t="shared" si="3"/>
        <v>45748</v>
      </c>
      <c r="N54" s="77">
        <f t="shared" si="13"/>
        <v>0</v>
      </c>
      <c r="O54" s="77">
        <f t="shared" si="14"/>
        <v>2625000</v>
      </c>
      <c r="P54" s="24">
        <f t="shared" si="4"/>
        <v>2625000</v>
      </c>
      <c r="Q54" s="77">
        <f t="shared" si="15"/>
        <v>2625000</v>
      </c>
      <c r="R54" s="19">
        <f t="shared" si="9"/>
        <v>0</v>
      </c>
      <c r="S54" s="77">
        <f t="shared" si="10"/>
        <v>525000000</v>
      </c>
      <c r="T54" s="19">
        <f t="shared" si="16"/>
        <v>2625000</v>
      </c>
    </row>
    <row r="55" spans="12:20" x14ac:dyDescent="0.3">
      <c r="L55" s="20">
        <v>52</v>
      </c>
      <c r="M55" s="76">
        <f t="shared" si="3"/>
        <v>45778</v>
      </c>
      <c r="N55" s="77">
        <f t="shared" si="13"/>
        <v>0</v>
      </c>
      <c r="O55" s="77">
        <f t="shared" si="14"/>
        <v>2625000</v>
      </c>
      <c r="P55" s="24">
        <f t="shared" si="4"/>
        <v>2625000</v>
      </c>
      <c r="Q55" s="77">
        <f t="shared" si="15"/>
        <v>2625000</v>
      </c>
      <c r="R55" s="19">
        <f t="shared" si="9"/>
        <v>0</v>
      </c>
      <c r="S55" s="77">
        <f t="shared" si="10"/>
        <v>525000000</v>
      </c>
      <c r="T55" s="19">
        <f t="shared" si="16"/>
        <v>2625000</v>
      </c>
    </row>
    <row r="56" spans="12:20" x14ac:dyDescent="0.3">
      <c r="L56" s="19">
        <v>53</v>
      </c>
      <c r="M56" s="76">
        <f t="shared" si="3"/>
        <v>45809</v>
      </c>
      <c r="N56" s="77">
        <f t="shared" si="13"/>
        <v>0</v>
      </c>
      <c r="O56" s="77">
        <f t="shared" si="14"/>
        <v>2625000</v>
      </c>
      <c r="P56" s="24">
        <f t="shared" si="4"/>
        <v>2625000</v>
      </c>
      <c r="Q56" s="77">
        <f t="shared" si="15"/>
        <v>2625000</v>
      </c>
      <c r="R56" s="19">
        <f t="shared" si="9"/>
        <v>0</v>
      </c>
      <c r="S56" s="77">
        <f t="shared" si="10"/>
        <v>525000000</v>
      </c>
      <c r="T56" s="19">
        <f t="shared" si="16"/>
        <v>2625000</v>
      </c>
    </row>
    <row r="57" spans="12:20" x14ac:dyDescent="0.3">
      <c r="L57" s="20">
        <v>54</v>
      </c>
      <c r="M57" s="76">
        <f t="shared" si="3"/>
        <v>45839</v>
      </c>
      <c r="N57" s="77">
        <f t="shared" si="13"/>
        <v>0</v>
      </c>
      <c r="O57" s="77">
        <f t="shared" si="14"/>
        <v>2625000</v>
      </c>
      <c r="P57" s="24">
        <f t="shared" si="4"/>
        <v>2625000</v>
      </c>
      <c r="Q57" s="77">
        <f t="shared" si="15"/>
        <v>2625000</v>
      </c>
      <c r="R57" s="19">
        <f t="shared" si="9"/>
        <v>0</v>
      </c>
      <c r="S57" s="77">
        <f t="shared" si="10"/>
        <v>525000000</v>
      </c>
      <c r="T57" s="19">
        <f t="shared" si="16"/>
        <v>2625000</v>
      </c>
    </row>
    <row r="58" spans="12:20" x14ac:dyDescent="0.3">
      <c r="L58" s="19">
        <v>55</v>
      </c>
      <c r="M58" s="76">
        <f t="shared" si="3"/>
        <v>45870</v>
      </c>
      <c r="N58" s="77">
        <f t="shared" si="13"/>
        <v>0</v>
      </c>
      <c r="O58" s="77">
        <f t="shared" si="14"/>
        <v>2625000</v>
      </c>
      <c r="P58" s="24">
        <f t="shared" si="4"/>
        <v>2625000</v>
      </c>
      <c r="Q58" s="77">
        <f t="shared" si="15"/>
        <v>2625000</v>
      </c>
      <c r="R58" s="19">
        <f t="shared" si="9"/>
        <v>0</v>
      </c>
      <c r="S58" s="77">
        <f t="shared" si="10"/>
        <v>525000000</v>
      </c>
      <c r="T58" s="19">
        <f t="shared" si="16"/>
        <v>2625000</v>
      </c>
    </row>
    <row r="59" spans="12:20" x14ac:dyDescent="0.3">
      <c r="L59" s="20">
        <v>56</v>
      </c>
      <c r="M59" s="76">
        <f t="shared" si="3"/>
        <v>45901</v>
      </c>
      <c r="N59" s="77">
        <f t="shared" si="13"/>
        <v>0</v>
      </c>
      <c r="O59" s="77">
        <f t="shared" si="14"/>
        <v>2625000</v>
      </c>
      <c r="P59" s="24">
        <f t="shared" si="4"/>
        <v>2625000</v>
      </c>
      <c r="Q59" s="77">
        <f t="shared" si="15"/>
        <v>2625000</v>
      </c>
      <c r="R59" s="19">
        <f t="shared" si="9"/>
        <v>0</v>
      </c>
      <c r="S59" s="77">
        <f t="shared" si="10"/>
        <v>525000000</v>
      </c>
      <c r="T59" s="19">
        <f t="shared" si="16"/>
        <v>2625000</v>
      </c>
    </row>
    <row r="60" spans="12:20" x14ac:dyDescent="0.3">
      <c r="L60" s="19">
        <v>57</v>
      </c>
      <c r="M60" s="76">
        <f t="shared" si="3"/>
        <v>45931</v>
      </c>
      <c r="N60" s="77">
        <f t="shared" si="13"/>
        <v>0</v>
      </c>
      <c r="O60" s="77">
        <f t="shared" si="14"/>
        <v>2625000</v>
      </c>
      <c r="P60" s="24">
        <f t="shared" si="4"/>
        <v>2625000</v>
      </c>
      <c r="Q60" s="77">
        <f t="shared" si="15"/>
        <v>2625000</v>
      </c>
      <c r="R60" s="19">
        <f t="shared" si="9"/>
        <v>0</v>
      </c>
      <c r="S60" s="77">
        <f t="shared" si="10"/>
        <v>525000000</v>
      </c>
      <c r="T60" s="19">
        <f t="shared" si="16"/>
        <v>2625000</v>
      </c>
    </row>
    <row r="61" spans="12:20" x14ac:dyDescent="0.3">
      <c r="L61" s="20">
        <v>58</v>
      </c>
      <c r="M61" s="76">
        <f t="shared" si="3"/>
        <v>45962</v>
      </c>
      <c r="N61" s="77">
        <f t="shared" si="13"/>
        <v>0</v>
      </c>
      <c r="O61" s="77">
        <f t="shared" si="14"/>
        <v>2625000</v>
      </c>
      <c r="P61" s="24">
        <f t="shared" si="4"/>
        <v>2625000</v>
      </c>
      <c r="Q61" s="77">
        <f t="shared" si="15"/>
        <v>2625000</v>
      </c>
      <c r="R61" s="19">
        <f t="shared" si="9"/>
        <v>0</v>
      </c>
      <c r="S61" s="77">
        <f t="shared" si="10"/>
        <v>525000000</v>
      </c>
      <c r="T61" s="19">
        <f t="shared" si="16"/>
        <v>2625000</v>
      </c>
    </row>
    <row r="62" spans="12:20" x14ac:dyDescent="0.3">
      <c r="L62" s="19">
        <v>59</v>
      </c>
      <c r="M62" s="76">
        <f t="shared" si="3"/>
        <v>45992</v>
      </c>
      <c r="N62" s="77">
        <f t="shared" si="13"/>
        <v>0</v>
      </c>
      <c r="O62" s="77">
        <f t="shared" si="14"/>
        <v>2625000</v>
      </c>
      <c r="P62" s="24">
        <f t="shared" si="4"/>
        <v>2625000</v>
      </c>
      <c r="Q62" s="77">
        <f t="shared" si="15"/>
        <v>2625000</v>
      </c>
      <c r="R62" s="19">
        <f t="shared" si="9"/>
        <v>0</v>
      </c>
      <c r="S62" s="77">
        <f t="shared" si="10"/>
        <v>525000000</v>
      </c>
      <c r="T62" s="19">
        <f t="shared" si="16"/>
        <v>2625000</v>
      </c>
    </row>
    <row r="63" spans="12:20" x14ac:dyDescent="0.3">
      <c r="L63" s="20">
        <v>60</v>
      </c>
      <c r="M63" s="76">
        <f t="shared" si="3"/>
        <v>46023</v>
      </c>
      <c r="N63" s="77">
        <f t="shared" si="13"/>
        <v>0</v>
      </c>
      <c r="O63" s="77">
        <f t="shared" si="14"/>
        <v>2625000</v>
      </c>
      <c r="P63" s="24">
        <f t="shared" si="4"/>
        <v>2625000</v>
      </c>
      <c r="Q63" s="77">
        <f t="shared" si="15"/>
        <v>2625000</v>
      </c>
      <c r="R63" s="19">
        <f t="shared" si="9"/>
        <v>0</v>
      </c>
      <c r="S63" s="77">
        <f t="shared" si="10"/>
        <v>525000000</v>
      </c>
      <c r="T63" s="19">
        <f t="shared" si="16"/>
        <v>2625000</v>
      </c>
    </row>
    <row r="64" spans="12:20" x14ac:dyDescent="0.3">
      <c r="L64" s="19">
        <v>61</v>
      </c>
      <c r="M64" s="76">
        <f t="shared" si="3"/>
        <v>46054</v>
      </c>
      <c r="N64" s="77">
        <f t="shared" si="13"/>
        <v>3203576.3519365955</v>
      </c>
      <c r="O64" s="77">
        <f t="shared" si="14"/>
        <v>2625000</v>
      </c>
      <c r="P64" s="24">
        <f t="shared" si="4"/>
        <v>2625000</v>
      </c>
      <c r="Q64" s="77">
        <f t="shared" si="15"/>
        <v>5828576.3519365955</v>
      </c>
      <c r="R64" s="19">
        <f t="shared" si="9"/>
        <v>5828576.3519365955</v>
      </c>
      <c r="S64" s="77">
        <f t="shared" si="10"/>
        <v>521796423.64806342</v>
      </c>
      <c r="T64" s="19">
        <f t="shared" si="16"/>
        <v>5828576.3519365955</v>
      </c>
    </row>
    <row r="65" spans="12:20" x14ac:dyDescent="0.3">
      <c r="L65" s="20">
        <v>62</v>
      </c>
      <c r="M65" s="76">
        <f t="shared" si="3"/>
        <v>46082</v>
      </c>
      <c r="N65" s="77">
        <f t="shared" si="13"/>
        <v>3219594.2336962787</v>
      </c>
      <c r="O65" s="77">
        <f t="shared" si="14"/>
        <v>2608982.1182403169</v>
      </c>
      <c r="P65" s="24">
        <f t="shared" si="4"/>
        <v>2608982.1182403169</v>
      </c>
      <c r="Q65" s="77">
        <f t="shared" si="15"/>
        <v>5828576.3519365955</v>
      </c>
      <c r="R65" s="19">
        <f t="shared" si="9"/>
        <v>5828576.3519365955</v>
      </c>
      <c r="S65" s="77">
        <f t="shared" si="10"/>
        <v>518576829.41436714</v>
      </c>
      <c r="T65" s="19">
        <f t="shared" si="16"/>
        <v>5828576.3519365955</v>
      </c>
    </row>
    <row r="66" spans="12:20" x14ac:dyDescent="0.3">
      <c r="L66" s="19">
        <v>63</v>
      </c>
      <c r="M66" s="76">
        <f t="shared" si="3"/>
        <v>46113</v>
      </c>
      <c r="N66" s="77">
        <f t="shared" si="13"/>
        <v>3235692.2048647599</v>
      </c>
      <c r="O66" s="77">
        <f t="shared" si="14"/>
        <v>2592884.1470718356</v>
      </c>
      <c r="P66" s="24">
        <f t="shared" si="4"/>
        <v>2592884.1470718356</v>
      </c>
      <c r="Q66" s="77">
        <f t="shared" si="15"/>
        <v>5828576.3519365955</v>
      </c>
      <c r="R66" s="19">
        <f t="shared" si="9"/>
        <v>5828576.3519365955</v>
      </c>
      <c r="S66" s="77">
        <f t="shared" si="10"/>
        <v>515341137.2095024</v>
      </c>
      <c r="T66" s="19">
        <f t="shared" si="16"/>
        <v>5828576.3519365955</v>
      </c>
    </row>
    <row r="67" spans="12:20" x14ac:dyDescent="0.3">
      <c r="L67" s="20">
        <v>64</v>
      </c>
      <c r="M67" s="76">
        <f t="shared" si="3"/>
        <v>46143</v>
      </c>
      <c r="N67" s="77">
        <f t="shared" si="13"/>
        <v>3251870.6658890839</v>
      </c>
      <c r="O67" s="77">
        <f t="shared" si="14"/>
        <v>2576705.6860475116</v>
      </c>
      <c r="P67" s="24">
        <f t="shared" si="4"/>
        <v>2576705.6860475116</v>
      </c>
      <c r="Q67" s="77">
        <f t="shared" si="15"/>
        <v>5828576.3519365955</v>
      </c>
      <c r="R67" s="19">
        <f t="shared" si="9"/>
        <v>5828576.3519365955</v>
      </c>
      <c r="S67" s="77">
        <f t="shared" si="10"/>
        <v>512089266.54361331</v>
      </c>
      <c r="T67" s="19">
        <f t="shared" si="16"/>
        <v>5828576.3519365955</v>
      </c>
    </row>
    <row r="68" spans="12:20" x14ac:dyDescent="0.3">
      <c r="L68" s="19">
        <v>65</v>
      </c>
      <c r="M68" s="76">
        <f t="shared" ref="M68:M131" si="17">EDATE($Y$13,L68)</f>
        <v>46174</v>
      </c>
      <c r="N68" s="77">
        <f t="shared" si="13"/>
        <v>3268130.0192185291</v>
      </c>
      <c r="O68" s="77">
        <f t="shared" si="14"/>
        <v>2560446.3327180664</v>
      </c>
      <c r="P68" s="24">
        <f t="shared" ref="P68:P131" si="18">IF(S68&gt;0,O68,IF(R68&gt;0,O68,0))</f>
        <v>2560446.3327180664</v>
      </c>
      <c r="Q68" s="77">
        <f t="shared" si="15"/>
        <v>5828576.3519365955</v>
      </c>
      <c r="R68" s="19">
        <f t="shared" si="9"/>
        <v>5828576.3519365955</v>
      </c>
      <c r="S68" s="77">
        <f t="shared" si="10"/>
        <v>508821136.52439481</v>
      </c>
      <c r="T68" s="19">
        <f t="shared" si="16"/>
        <v>5828576.3519365955</v>
      </c>
    </row>
    <row r="69" spans="12:20" x14ac:dyDescent="0.3">
      <c r="L69" s="20">
        <v>66</v>
      </c>
      <c r="M69" s="76">
        <f t="shared" si="17"/>
        <v>46204</v>
      </c>
      <c r="N69" s="77">
        <f t="shared" si="13"/>
        <v>3284470.6693146215</v>
      </c>
      <c r="O69" s="77">
        <f t="shared" si="14"/>
        <v>2544105.682621974</v>
      </c>
      <c r="P69" s="24">
        <f t="shared" si="18"/>
        <v>2544105.682621974</v>
      </c>
      <c r="Q69" s="77">
        <f t="shared" si="15"/>
        <v>5828576.3519365955</v>
      </c>
      <c r="R69" s="19">
        <f t="shared" ref="R69:R132" si="19">IF(L69&gt;$Y$12,0,(IF(L69&lt;=$V$17,0,$Y$14)))</f>
        <v>5828576.3519365955</v>
      </c>
      <c r="S69" s="77">
        <f t="shared" ref="S69:S132" si="20">S68-N69</f>
        <v>505536665.85508019</v>
      </c>
      <c r="T69" s="19">
        <f t="shared" si="16"/>
        <v>5828576.3519365955</v>
      </c>
    </row>
    <row r="70" spans="12:20" x14ac:dyDescent="0.3">
      <c r="L70" s="19">
        <v>67</v>
      </c>
      <c r="M70" s="76">
        <f t="shared" si="17"/>
        <v>46235</v>
      </c>
      <c r="N70" s="77">
        <f t="shared" ref="N70:N133" si="21">IF(L70&lt;=$V$17,0,(IF(L70&lt;=$Y$12,R70-O70,0)))</f>
        <v>3300893.0226611947</v>
      </c>
      <c r="O70" s="77">
        <f t="shared" ref="O70:O133" si="22">S69*$V$15/12</f>
        <v>2527683.3292754008</v>
      </c>
      <c r="P70" s="24">
        <f t="shared" si="18"/>
        <v>2527683.3292754008</v>
      </c>
      <c r="Q70" s="77">
        <f t="shared" ref="Q70:Q133" si="23">IF(L70&gt;SUM($V$16:$V$17),0,SUM(N70,P70))</f>
        <v>5828576.3519365955</v>
      </c>
      <c r="R70" s="19">
        <f t="shared" si="19"/>
        <v>5828576.3519365955</v>
      </c>
      <c r="S70" s="77">
        <f t="shared" si="20"/>
        <v>502235772.83241898</v>
      </c>
      <c r="T70" s="19">
        <f t="shared" ref="T70:T133" si="24">N70+P70</f>
        <v>5828576.3519365955</v>
      </c>
    </row>
    <row r="71" spans="12:20" x14ac:dyDescent="0.3">
      <c r="L71" s="20">
        <v>68</v>
      </c>
      <c r="M71" s="76">
        <f t="shared" si="17"/>
        <v>46266</v>
      </c>
      <c r="N71" s="77">
        <f t="shared" si="21"/>
        <v>3317397.4877745006</v>
      </c>
      <c r="O71" s="77">
        <f t="shared" si="22"/>
        <v>2511178.8641620949</v>
      </c>
      <c r="P71" s="24">
        <f t="shared" si="18"/>
        <v>2511178.8641620949</v>
      </c>
      <c r="Q71" s="77">
        <f t="shared" si="23"/>
        <v>5828576.3519365955</v>
      </c>
      <c r="R71" s="19">
        <f t="shared" si="19"/>
        <v>5828576.3519365955</v>
      </c>
      <c r="S71" s="77">
        <f t="shared" si="20"/>
        <v>498918375.34464449</v>
      </c>
      <c r="T71" s="19">
        <f t="shared" si="24"/>
        <v>5828576.3519365955</v>
      </c>
    </row>
    <row r="72" spans="12:20" x14ac:dyDescent="0.3">
      <c r="L72" s="19">
        <v>69</v>
      </c>
      <c r="M72" s="76">
        <f t="shared" si="17"/>
        <v>46296</v>
      </c>
      <c r="N72" s="77">
        <f t="shared" si="21"/>
        <v>3333984.4752133731</v>
      </c>
      <c r="O72" s="77">
        <f t="shared" si="22"/>
        <v>2494591.8767232224</v>
      </c>
      <c r="P72" s="24">
        <f t="shared" si="18"/>
        <v>2494591.8767232224</v>
      </c>
      <c r="Q72" s="77">
        <f t="shared" si="23"/>
        <v>5828576.3519365955</v>
      </c>
      <c r="R72" s="19">
        <f t="shared" si="19"/>
        <v>5828576.3519365955</v>
      </c>
      <c r="S72" s="77">
        <f t="shared" si="20"/>
        <v>495584390.86943114</v>
      </c>
      <c r="T72" s="19">
        <f t="shared" si="24"/>
        <v>5828576.3519365955</v>
      </c>
    </row>
    <row r="73" spans="12:20" x14ac:dyDescent="0.3">
      <c r="L73" s="20">
        <v>70</v>
      </c>
      <c r="M73" s="76">
        <f t="shared" si="17"/>
        <v>46327</v>
      </c>
      <c r="N73" s="77">
        <f t="shared" si="21"/>
        <v>3350654.39758944</v>
      </c>
      <c r="O73" s="77">
        <f t="shared" si="22"/>
        <v>2477921.9543471555</v>
      </c>
      <c r="P73" s="24">
        <f t="shared" si="18"/>
        <v>2477921.9543471555</v>
      </c>
      <c r="Q73" s="77">
        <f t="shared" si="23"/>
        <v>5828576.3519365955</v>
      </c>
      <c r="R73" s="19">
        <f t="shared" si="19"/>
        <v>5828576.3519365955</v>
      </c>
      <c r="S73" s="77">
        <f t="shared" si="20"/>
        <v>492233736.47184169</v>
      </c>
      <c r="T73" s="19">
        <f t="shared" si="24"/>
        <v>5828576.3519365955</v>
      </c>
    </row>
    <row r="74" spans="12:20" x14ac:dyDescent="0.3">
      <c r="L74" s="19">
        <v>71</v>
      </c>
      <c r="M74" s="76">
        <f t="shared" si="17"/>
        <v>46357</v>
      </c>
      <c r="N74" s="77">
        <f t="shared" si="21"/>
        <v>3367407.6695773872</v>
      </c>
      <c r="O74" s="77">
        <f t="shared" si="22"/>
        <v>2461168.6823592084</v>
      </c>
      <c r="P74" s="24">
        <f t="shared" si="18"/>
        <v>2461168.6823592084</v>
      </c>
      <c r="Q74" s="77">
        <f t="shared" si="23"/>
        <v>5828576.3519365955</v>
      </c>
      <c r="R74" s="19">
        <f t="shared" si="19"/>
        <v>5828576.3519365955</v>
      </c>
      <c r="S74" s="77">
        <f t="shared" si="20"/>
        <v>488866328.80226433</v>
      </c>
      <c r="T74" s="19">
        <f t="shared" si="24"/>
        <v>5828576.3519365955</v>
      </c>
    </row>
    <row r="75" spans="12:20" x14ac:dyDescent="0.3">
      <c r="L75" s="20">
        <v>72</v>
      </c>
      <c r="M75" s="76">
        <f t="shared" si="17"/>
        <v>46388</v>
      </c>
      <c r="N75" s="77">
        <f t="shared" si="21"/>
        <v>3384244.707925274</v>
      </c>
      <c r="O75" s="77">
        <f t="shared" si="22"/>
        <v>2444331.6440113215</v>
      </c>
      <c r="P75" s="24">
        <f t="shared" si="18"/>
        <v>2444331.6440113215</v>
      </c>
      <c r="Q75" s="77">
        <f t="shared" si="23"/>
        <v>5828576.3519365955</v>
      </c>
      <c r="R75" s="19">
        <f t="shared" si="19"/>
        <v>5828576.3519365955</v>
      </c>
      <c r="S75" s="77">
        <f t="shared" si="20"/>
        <v>485482084.09433907</v>
      </c>
      <c r="T75" s="19">
        <f t="shared" si="24"/>
        <v>5828576.3519365955</v>
      </c>
    </row>
    <row r="76" spans="12:20" x14ac:dyDescent="0.3">
      <c r="L76" s="19">
        <v>73</v>
      </c>
      <c r="M76" s="76">
        <f t="shared" si="17"/>
        <v>46419</v>
      </c>
      <c r="N76" s="77">
        <f t="shared" si="21"/>
        <v>3401165.9314649003</v>
      </c>
      <c r="O76" s="77">
        <f t="shared" si="22"/>
        <v>2427410.4204716953</v>
      </c>
      <c r="P76" s="24">
        <f t="shared" si="18"/>
        <v>2427410.4204716953</v>
      </c>
      <c r="Q76" s="77">
        <f t="shared" si="23"/>
        <v>5828576.3519365955</v>
      </c>
      <c r="R76" s="19">
        <f t="shared" si="19"/>
        <v>5828576.3519365955</v>
      </c>
      <c r="S76" s="77">
        <f t="shared" si="20"/>
        <v>482080918.16287416</v>
      </c>
      <c r="T76" s="19">
        <f t="shared" si="24"/>
        <v>5828576.3519365955</v>
      </c>
    </row>
    <row r="77" spans="12:20" x14ac:dyDescent="0.3">
      <c r="L77" s="20">
        <v>74</v>
      </c>
      <c r="M77" s="76">
        <f t="shared" si="17"/>
        <v>46447</v>
      </c>
      <c r="N77" s="77">
        <f t="shared" si="21"/>
        <v>3418171.7611222249</v>
      </c>
      <c r="O77" s="77">
        <f t="shared" si="22"/>
        <v>2410404.5908143707</v>
      </c>
      <c r="P77" s="24">
        <f t="shared" si="18"/>
        <v>2410404.5908143707</v>
      </c>
      <c r="Q77" s="77">
        <f t="shared" si="23"/>
        <v>5828576.3519365955</v>
      </c>
      <c r="R77" s="19">
        <f t="shared" si="19"/>
        <v>5828576.3519365955</v>
      </c>
      <c r="S77" s="77">
        <f t="shared" si="20"/>
        <v>478662746.40175194</v>
      </c>
      <c r="T77" s="19">
        <f t="shared" si="24"/>
        <v>5828576.3519365955</v>
      </c>
    </row>
    <row r="78" spans="12:20" x14ac:dyDescent="0.3">
      <c r="L78" s="19">
        <v>75</v>
      </c>
      <c r="M78" s="76">
        <f t="shared" si="17"/>
        <v>46478</v>
      </c>
      <c r="N78" s="77">
        <f t="shared" si="21"/>
        <v>3435262.6199278361</v>
      </c>
      <c r="O78" s="77">
        <f t="shared" si="22"/>
        <v>2393313.7320087594</v>
      </c>
      <c r="P78" s="24">
        <f t="shared" si="18"/>
        <v>2393313.7320087594</v>
      </c>
      <c r="Q78" s="77">
        <f t="shared" si="23"/>
        <v>5828576.3519365955</v>
      </c>
      <c r="R78" s="19">
        <f t="shared" si="19"/>
        <v>5828576.3519365955</v>
      </c>
      <c r="S78" s="77">
        <f t="shared" si="20"/>
        <v>475227483.78182411</v>
      </c>
      <c r="T78" s="19">
        <f t="shared" si="24"/>
        <v>5828576.3519365955</v>
      </c>
    </row>
    <row r="79" spans="12:20" x14ac:dyDescent="0.3">
      <c r="L79" s="20">
        <v>76</v>
      </c>
      <c r="M79" s="76">
        <f t="shared" si="17"/>
        <v>46508</v>
      </c>
      <c r="N79" s="77">
        <f t="shared" si="21"/>
        <v>3452438.9330274751</v>
      </c>
      <c r="O79" s="77">
        <f t="shared" si="22"/>
        <v>2376137.4189091204</v>
      </c>
      <c r="P79" s="24">
        <f t="shared" si="18"/>
        <v>2376137.4189091204</v>
      </c>
      <c r="Q79" s="77">
        <f t="shared" si="23"/>
        <v>5828576.3519365955</v>
      </c>
      <c r="R79" s="19">
        <f t="shared" si="19"/>
        <v>5828576.3519365955</v>
      </c>
      <c r="S79" s="77">
        <f t="shared" si="20"/>
        <v>471775044.84879667</v>
      </c>
      <c r="T79" s="19">
        <f t="shared" si="24"/>
        <v>5828576.3519365955</v>
      </c>
    </row>
    <row r="80" spans="12:20" x14ac:dyDescent="0.3">
      <c r="L80" s="19">
        <v>77</v>
      </c>
      <c r="M80" s="76">
        <f t="shared" si="17"/>
        <v>46539</v>
      </c>
      <c r="N80" s="77">
        <f t="shared" si="21"/>
        <v>3469701.1276926124</v>
      </c>
      <c r="O80" s="77">
        <f t="shared" si="22"/>
        <v>2358875.2242439832</v>
      </c>
      <c r="P80" s="24">
        <f t="shared" si="18"/>
        <v>2358875.2242439832</v>
      </c>
      <c r="Q80" s="77">
        <f t="shared" si="23"/>
        <v>5828576.3519365955</v>
      </c>
      <c r="R80" s="19">
        <f t="shared" si="19"/>
        <v>5828576.3519365955</v>
      </c>
      <c r="S80" s="77">
        <f t="shared" si="20"/>
        <v>468305343.72110403</v>
      </c>
      <c r="T80" s="19">
        <f t="shared" si="24"/>
        <v>5828576.3519365955</v>
      </c>
    </row>
    <row r="81" spans="12:20" x14ac:dyDescent="0.3">
      <c r="L81" s="20">
        <v>78</v>
      </c>
      <c r="M81" s="76">
        <f t="shared" si="17"/>
        <v>46569</v>
      </c>
      <c r="N81" s="77">
        <f t="shared" si="21"/>
        <v>3487049.6333310758</v>
      </c>
      <c r="O81" s="77">
        <f t="shared" si="22"/>
        <v>2341526.7186055197</v>
      </c>
      <c r="P81" s="24">
        <f t="shared" si="18"/>
        <v>2341526.7186055197</v>
      </c>
      <c r="Q81" s="77">
        <f t="shared" si="23"/>
        <v>5828576.3519365955</v>
      </c>
      <c r="R81" s="19">
        <f t="shared" si="19"/>
        <v>5828576.3519365955</v>
      </c>
      <c r="S81" s="77">
        <f t="shared" si="20"/>
        <v>464818294.08777297</v>
      </c>
      <c r="T81" s="19">
        <f t="shared" si="24"/>
        <v>5828576.3519365955</v>
      </c>
    </row>
    <row r="82" spans="12:20" x14ac:dyDescent="0.3">
      <c r="L82" s="19">
        <v>79</v>
      </c>
      <c r="M82" s="76">
        <f t="shared" si="17"/>
        <v>46600</v>
      </c>
      <c r="N82" s="77">
        <f t="shared" si="21"/>
        <v>3504484.881497731</v>
      </c>
      <c r="O82" s="77">
        <f t="shared" si="22"/>
        <v>2324091.4704388645</v>
      </c>
      <c r="P82" s="24">
        <f t="shared" si="18"/>
        <v>2324091.4704388645</v>
      </c>
      <c r="Q82" s="77">
        <f t="shared" si="23"/>
        <v>5828576.3519365955</v>
      </c>
      <c r="R82" s="19">
        <f t="shared" si="19"/>
        <v>5828576.3519365955</v>
      </c>
      <c r="S82" s="77">
        <f t="shared" si="20"/>
        <v>461313809.20627522</v>
      </c>
      <c r="T82" s="19">
        <f t="shared" si="24"/>
        <v>5828576.3519365955</v>
      </c>
    </row>
    <row r="83" spans="12:20" x14ac:dyDescent="0.3">
      <c r="L83" s="20">
        <v>80</v>
      </c>
      <c r="M83" s="76">
        <f t="shared" si="17"/>
        <v>46631</v>
      </c>
      <c r="N83" s="77">
        <f t="shared" si="21"/>
        <v>3522007.3059052196</v>
      </c>
      <c r="O83" s="77">
        <f t="shared" si="22"/>
        <v>2306569.0460313759</v>
      </c>
      <c r="P83" s="24">
        <f t="shared" si="18"/>
        <v>2306569.0460313759</v>
      </c>
      <c r="Q83" s="77">
        <f t="shared" si="23"/>
        <v>5828576.3519365955</v>
      </c>
      <c r="R83" s="19">
        <f t="shared" si="19"/>
        <v>5828576.3519365955</v>
      </c>
      <c r="S83" s="77">
        <f t="shared" si="20"/>
        <v>457791801.90037</v>
      </c>
      <c r="T83" s="19">
        <f t="shared" si="24"/>
        <v>5828576.3519365955</v>
      </c>
    </row>
    <row r="84" spans="12:20" x14ac:dyDescent="0.3">
      <c r="L84" s="19">
        <v>81</v>
      </c>
      <c r="M84" s="76">
        <f t="shared" si="17"/>
        <v>46661</v>
      </c>
      <c r="N84" s="77">
        <f t="shared" si="21"/>
        <v>3539617.3424347457</v>
      </c>
      <c r="O84" s="77">
        <f t="shared" si="22"/>
        <v>2288959.0095018498</v>
      </c>
      <c r="P84" s="24">
        <f t="shared" si="18"/>
        <v>2288959.0095018498</v>
      </c>
      <c r="Q84" s="77">
        <f t="shared" si="23"/>
        <v>5828576.3519365955</v>
      </c>
      <c r="R84" s="19">
        <f t="shared" si="19"/>
        <v>5828576.3519365955</v>
      </c>
      <c r="S84" s="77">
        <f t="shared" si="20"/>
        <v>454252184.55793524</v>
      </c>
      <c r="T84" s="19">
        <f t="shared" si="24"/>
        <v>5828576.3519365955</v>
      </c>
    </row>
    <row r="85" spans="12:20" x14ac:dyDescent="0.3">
      <c r="L85" s="20">
        <v>82</v>
      </c>
      <c r="M85" s="76">
        <f t="shared" si="17"/>
        <v>46692</v>
      </c>
      <c r="N85" s="77">
        <f t="shared" si="21"/>
        <v>3557315.4291469194</v>
      </c>
      <c r="O85" s="77">
        <f t="shared" si="22"/>
        <v>2271260.9227896761</v>
      </c>
      <c r="P85" s="24">
        <f t="shared" si="18"/>
        <v>2271260.9227896761</v>
      </c>
      <c r="Q85" s="77">
        <f t="shared" si="23"/>
        <v>5828576.3519365955</v>
      </c>
      <c r="R85" s="19">
        <f t="shared" si="19"/>
        <v>5828576.3519365955</v>
      </c>
      <c r="S85" s="77">
        <f t="shared" si="20"/>
        <v>450694869.12878829</v>
      </c>
      <c r="T85" s="19">
        <f t="shared" si="24"/>
        <v>5828576.3519365955</v>
      </c>
    </row>
    <row r="86" spans="12:20" x14ac:dyDescent="0.3">
      <c r="L86" s="19">
        <v>83</v>
      </c>
      <c r="M86" s="76">
        <f t="shared" si="17"/>
        <v>46722</v>
      </c>
      <c r="N86" s="77">
        <f t="shared" si="21"/>
        <v>3575102.0062926542</v>
      </c>
      <c r="O86" s="77">
        <f t="shared" si="22"/>
        <v>2253474.3456439413</v>
      </c>
      <c r="P86" s="24">
        <f t="shared" si="18"/>
        <v>2253474.3456439413</v>
      </c>
      <c r="Q86" s="77">
        <f t="shared" si="23"/>
        <v>5828576.3519365955</v>
      </c>
      <c r="R86" s="19">
        <f t="shared" si="19"/>
        <v>5828576.3519365955</v>
      </c>
      <c r="S86" s="77">
        <f t="shared" si="20"/>
        <v>447119767.12249565</v>
      </c>
      <c r="T86" s="19">
        <f t="shared" si="24"/>
        <v>5828576.3519365955</v>
      </c>
    </row>
    <row r="87" spans="12:20" x14ac:dyDescent="0.3">
      <c r="L87" s="20">
        <v>84</v>
      </c>
      <c r="M87" s="76">
        <f t="shared" si="17"/>
        <v>46753</v>
      </c>
      <c r="N87" s="77">
        <f t="shared" si="21"/>
        <v>3592977.5163241173</v>
      </c>
      <c r="O87" s="77">
        <f t="shared" si="22"/>
        <v>2235598.8356124782</v>
      </c>
      <c r="P87" s="24">
        <f t="shared" si="18"/>
        <v>2235598.8356124782</v>
      </c>
      <c r="Q87" s="77">
        <f t="shared" si="23"/>
        <v>5828576.3519365955</v>
      </c>
      <c r="R87" s="19">
        <f t="shared" si="19"/>
        <v>5828576.3519365955</v>
      </c>
      <c r="S87" s="77">
        <f t="shared" si="20"/>
        <v>443526789.60617155</v>
      </c>
      <c r="T87" s="19">
        <f t="shared" si="24"/>
        <v>5828576.3519365955</v>
      </c>
    </row>
    <row r="88" spans="12:20" x14ac:dyDescent="0.3">
      <c r="L88" s="19">
        <v>85</v>
      </c>
      <c r="M88" s="76">
        <f t="shared" si="17"/>
        <v>46784</v>
      </c>
      <c r="N88" s="77">
        <f t="shared" si="21"/>
        <v>3610942.4039057377</v>
      </c>
      <c r="O88" s="77">
        <f t="shared" si="22"/>
        <v>2217633.9480308578</v>
      </c>
      <c r="P88" s="24">
        <f t="shared" si="18"/>
        <v>2217633.9480308578</v>
      </c>
      <c r="Q88" s="77">
        <f t="shared" si="23"/>
        <v>5828576.3519365955</v>
      </c>
      <c r="R88" s="19">
        <f t="shared" si="19"/>
        <v>5828576.3519365955</v>
      </c>
      <c r="S88" s="77">
        <f t="shared" si="20"/>
        <v>439915847.2022658</v>
      </c>
      <c r="T88" s="19">
        <f t="shared" si="24"/>
        <v>5828576.3519365955</v>
      </c>
    </row>
    <row r="89" spans="12:20" x14ac:dyDescent="0.3">
      <c r="L89" s="20">
        <v>86</v>
      </c>
      <c r="M89" s="76">
        <f t="shared" si="17"/>
        <v>46813</v>
      </c>
      <c r="N89" s="77">
        <f t="shared" si="21"/>
        <v>3628997.1159252669</v>
      </c>
      <c r="O89" s="77">
        <f t="shared" si="22"/>
        <v>2199579.2360113286</v>
      </c>
      <c r="P89" s="24">
        <f t="shared" si="18"/>
        <v>2199579.2360113286</v>
      </c>
      <c r="Q89" s="77">
        <f t="shared" si="23"/>
        <v>5828576.3519365955</v>
      </c>
      <c r="R89" s="19">
        <f t="shared" si="19"/>
        <v>5828576.3519365955</v>
      </c>
      <c r="S89" s="77">
        <f t="shared" si="20"/>
        <v>436286850.08634055</v>
      </c>
      <c r="T89" s="19">
        <f t="shared" si="24"/>
        <v>5828576.3519365955</v>
      </c>
    </row>
    <row r="90" spans="12:20" x14ac:dyDescent="0.3">
      <c r="L90" s="19">
        <v>87</v>
      </c>
      <c r="M90" s="76">
        <f t="shared" si="17"/>
        <v>46844</v>
      </c>
      <c r="N90" s="77">
        <f t="shared" si="21"/>
        <v>3647142.1015048926</v>
      </c>
      <c r="O90" s="77">
        <f t="shared" si="22"/>
        <v>2181434.2504317029</v>
      </c>
      <c r="P90" s="24">
        <f t="shared" si="18"/>
        <v>2181434.2504317029</v>
      </c>
      <c r="Q90" s="77">
        <f t="shared" si="23"/>
        <v>5828576.3519365955</v>
      </c>
      <c r="R90" s="19">
        <f t="shared" si="19"/>
        <v>5828576.3519365955</v>
      </c>
      <c r="S90" s="77">
        <f t="shared" si="20"/>
        <v>432639707.98483562</v>
      </c>
      <c r="T90" s="19">
        <f t="shared" si="24"/>
        <v>5828576.3519365955</v>
      </c>
    </row>
    <row r="91" spans="12:20" x14ac:dyDescent="0.3">
      <c r="L91" s="20">
        <v>88</v>
      </c>
      <c r="M91" s="76">
        <f t="shared" si="17"/>
        <v>46874</v>
      </c>
      <c r="N91" s="77">
        <f t="shared" si="21"/>
        <v>3665377.8120124177</v>
      </c>
      <c r="O91" s="77">
        <f t="shared" si="22"/>
        <v>2163198.5399241778</v>
      </c>
      <c r="P91" s="24">
        <f t="shared" si="18"/>
        <v>2163198.5399241778</v>
      </c>
      <c r="Q91" s="77">
        <f t="shared" si="23"/>
        <v>5828576.3519365955</v>
      </c>
      <c r="R91" s="19">
        <f t="shared" si="19"/>
        <v>5828576.3519365955</v>
      </c>
      <c r="S91" s="77">
        <f t="shared" si="20"/>
        <v>428974330.17282319</v>
      </c>
      <c r="T91" s="19">
        <f t="shared" si="24"/>
        <v>5828576.3519365955</v>
      </c>
    </row>
    <row r="92" spans="12:20" x14ac:dyDescent="0.3">
      <c r="L92" s="19">
        <v>89</v>
      </c>
      <c r="M92" s="76">
        <f t="shared" si="17"/>
        <v>46905</v>
      </c>
      <c r="N92" s="77">
        <f t="shared" si="21"/>
        <v>3683704.7010724796</v>
      </c>
      <c r="O92" s="77">
        <f t="shared" si="22"/>
        <v>2144871.6508641159</v>
      </c>
      <c r="P92" s="24">
        <f t="shared" si="18"/>
        <v>2144871.6508641159</v>
      </c>
      <c r="Q92" s="77">
        <f t="shared" si="23"/>
        <v>5828576.3519365955</v>
      </c>
      <c r="R92" s="19">
        <f t="shared" si="19"/>
        <v>5828576.3519365955</v>
      </c>
      <c r="S92" s="77">
        <f t="shared" si="20"/>
        <v>425290625.47175074</v>
      </c>
      <c r="T92" s="19">
        <f t="shared" si="24"/>
        <v>5828576.3519365955</v>
      </c>
    </row>
    <row r="93" spans="12:20" x14ac:dyDescent="0.3">
      <c r="L93" s="20">
        <v>90</v>
      </c>
      <c r="M93" s="76">
        <f t="shared" si="17"/>
        <v>46935</v>
      </c>
      <c r="N93" s="77">
        <f t="shared" si="21"/>
        <v>3702123.2245778418</v>
      </c>
      <c r="O93" s="77">
        <f t="shared" si="22"/>
        <v>2126453.1273587537</v>
      </c>
      <c r="P93" s="24">
        <f t="shared" si="18"/>
        <v>2126453.1273587537</v>
      </c>
      <c r="Q93" s="77">
        <f t="shared" si="23"/>
        <v>5828576.3519365955</v>
      </c>
      <c r="R93" s="19">
        <f t="shared" si="19"/>
        <v>5828576.3519365955</v>
      </c>
      <c r="S93" s="77">
        <f t="shared" si="20"/>
        <v>421588502.24717289</v>
      </c>
      <c r="T93" s="19">
        <f t="shared" si="24"/>
        <v>5828576.3519365955</v>
      </c>
    </row>
    <row r="94" spans="12:20" x14ac:dyDescent="0.3">
      <c r="L94" s="19">
        <v>91</v>
      </c>
      <c r="M94" s="76">
        <f t="shared" si="17"/>
        <v>46966</v>
      </c>
      <c r="N94" s="77">
        <f t="shared" si="21"/>
        <v>3720633.8407007311</v>
      </c>
      <c r="O94" s="77">
        <f t="shared" si="22"/>
        <v>2107942.5112358644</v>
      </c>
      <c r="P94" s="24">
        <f t="shared" si="18"/>
        <v>2107942.5112358644</v>
      </c>
      <c r="Q94" s="77">
        <f t="shared" si="23"/>
        <v>5828576.3519365955</v>
      </c>
      <c r="R94" s="19">
        <f t="shared" si="19"/>
        <v>5828576.3519365955</v>
      </c>
      <c r="S94" s="77">
        <f t="shared" si="20"/>
        <v>417867868.40647215</v>
      </c>
      <c r="T94" s="19">
        <f t="shared" si="24"/>
        <v>5828576.3519365955</v>
      </c>
    </row>
    <row r="95" spans="12:20" x14ac:dyDescent="0.3">
      <c r="L95" s="20">
        <v>92</v>
      </c>
      <c r="M95" s="76">
        <f t="shared" si="17"/>
        <v>46997</v>
      </c>
      <c r="N95" s="77">
        <f t="shared" si="21"/>
        <v>3739237.0099042347</v>
      </c>
      <c r="O95" s="77">
        <f t="shared" si="22"/>
        <v>2089339.3420323606</v>
      </c>
      <c r="P95" s="24">
        <f t="shared" si="18"/>
        <v>2089339.3420323606</v>
      </c>
      <c r="Q95" s="77">
        <f t="shared" si="23"/>
        <v>5828576.3519365955</v>
      </c>
      <c r="R95" s="19">
        <f t="shared" si="19"/>
        <v>5828576.3519365955</v>
      </c>
      <c r="S95" s="77">
        <f t="shared" si="20"/>
        <v>414128631.39656794</v>
      </c>
      <c r="T95" s="19">
        <f t="shared" si="24"/>
        <v>5828576.3519365955</v>
      </c>
    </row>
    <row r="96" spans="12:20" x14ac:dyDescent="0.3">
      <c r="L96" s="19">
        <v>93</v>
      </c>
      <c r="M96" s="76">
        <f t="shared" si="17"/>
        <v>47027</v>
      </c>
      <c r="N96" s="77">
        <f t="shared" si="21"/>
        <v>3757933.1949537555</v>
      </c>
      <c r="O96" s="77">
        <f t="shared" si="22"/>
        <v>2070643.1569828398</v>
      </c>
      <c r="P96" s="24">
        <f t="shared" si="18"/>
        <v>2070643.1569828398</v>
      </c>
      <c r="Q96" s="77">
        <f t="shared" si="23"/>
        <v>5828576.3519365955</v>
      </c>
      <c r="R96" s="19">
        <f t="shared" si="19"/>
        <v>5828576.3519365955</v>
      </c>
      <c r="S96" s="77">
        <f t="shared" si="20"/>
        <v>410370698.2016142</v>
      </c>
      <c r="T96" s="19">
        <f t="shared" si="24"/>
        <v>5828576.3519365955</v>
      </c>
    </row>
    <row r="97" spans="12:20" x14ac:dyDescent="0.3">
      <c r="L97" s="20">
        <v>94</v>
      </c>
      <c r="M97" s="76">
        <f t="shared" si="17"/>
        <v>47058</v>
      </c>
      <c r="N97" s="77">
        <f t="shared" si="21"/>
        <v>3776722.8609285243</v>
      </c>
      <c r="O97" s="77">
        <f t="shared" si="22"/>
        <v>2051853.491008071</v>
      </c>
      <c r="P97" s="24">
        <f t="shared" si="18"/>
        <v>2051853.491008071</v>
      </c>
      <c r="Q97" s="77">
        <f t="shared" si="23"/>
        <v>5828576.3519365955</v>
      </c>
      <c r="R97" s="19">
        <f t="shared" si="19"/>
        <v>5828576.3519365955</v>
      </c>
      <c r="S97" s="77">
        <f t="shared" si="20"/>
        <v>406593975.34068567</v>
      </c>
      <c r="T97" s="19">
        <f t="shared" si="24"/>
        <v>5828576.3519365955</v>
      </c>
    </row>
    <row r="98" spans="12:20" x14ac:dyDescent="0.3">
      <c r="L98" s="19">
        <v>95</v>
      </c>
      <c r="M98" s="76">
        <f t="shared" si="17"/>
        <v>47088</v>
      </c>
      <c r="N98" s="77">
        <f t="shared" si="21"/>
        <v>3795606.4752331674</v>
      </c>
      <c r="O98" s="77">
        <f t="shared" si="22"/>
        <v>2032969.8767034281</v>
      </c>
      <c r="P98" s="24">
        <f t="shared" si="18"/>
        <v>2032969.8767034281</v>
      </c>
      <c r="Q98" s="77">
        <f t="shared" si="23"/>
        <v>5828576.3519365955</v>
      </c>
      <c r="R98" s="19">
        <f t="shared" si="19"/>
        <v>5828576.3519365955</v>
      </c>
      <c r="S98" s="77">
        <f t="shared" si="20"/>
        <v>402798368.86545253</v>
      </c>
      <c r="T98" s="19">
        <f t="shared" si="24"/>
        <v>5828576.3519365955</v>
      </c>
    </row>
    <row r="99" spans="12:20" x14ac:dyDescent="0.3">
      <c r="L99" s="20">
        <v>96</v>
      </c>
      <c r="M99" s="76">
        <f t="shared" si="17"/>
        <v>47119</v>
      </c>
      <c r="N99" s="77">
        <f t="shared" si="21"/>
        <v>3814584.5076093329</v>
      </c>
      <c r="O99" s="77">
        <f t="shared" si="22"/>
        <v>2013991.8443272626</v>
      </c>
      <c r="P99" s="24">
        <f t="shared" si="18"/>
        <v>2013991.8443272626</v>
      </c>
      <c r="Q99" s="77">
        <f t="shared" si="23"/>
        <v>5828576.3519365955</v>
      </c>
      <c r="R99" s="19">
        <f t="shared" si="19"/>
        <v>5828576.3519365955</v>
      </c>
      <c r="S99" s="77">
        <f t="shared" si="20"/>
        <v>398983784.35784322</v>
      </c>
      <c r="T99" s="19">
        <f t="shared" si="24"/>
        <v>5828576.3519365955</v>
      </c>
    </row>
    <row r="100" spans="12:20" x14ac:dyDescent="0.3">
      <c r="L100" s="19">
        <v>97</v>
      </c>
      <c r="M100" s="76">
        <f t="shared" si="17"/>
        <v>47150</v>
      </c>
      <c r="N100" s="77">
        <f t="shared" si="21"/>
        <v>3833657.4301473796</v>
      </c>
      <c r="O100" s="77">
        <f t="shared" si="22"/>
        <v>1994918.9217892159</v>
      </c>
      <c r="P100" s="24">
        <f t="shared" si="18"/>
        <v>1994918.9217892159</v>
      </c>
      <c r="Q100" s="77">
        <f t="shared" si="23"/>
        <v>5828576.3519365955</v>
      </c>
      <c r="R100" s="19">
        <f t="shared" si="19"/>
        <v>5828576.3519365955</v>
      </c>
      <c r="S100" s="77">
        <f t="shared" si="20"/>
        <v>395150126.92769587</v>
      </c>
      <c r="T100" s="19">
        <f t="shared" si="24"/>
        <v>5828576.3519365955</v>
      </c>
    </row>
    <row r="101" spans="12:20" x14ac:dyDescent="0.3">
      <c r="L101" s="20">
        <v>98</v>
      </c>
      <c r="M101" s="76">
        <f t="shared" si="17"/>
        <v>47178</v>
      </c>
      <c r="N101" s="77">
        <f t="shared" si="21"/>
        <v>3852825.7172981165</v>
      </c>
      <c r="O101" s="77">
        <f t="shared" si="22"/>
        <v>1975750.6346384792</v>
      </c>
      <c r="P101" s="24">
        <f t="shared" si="18"/>
        <v>1975750.6346384792</v>
      </c>
      <c r="Q101" s="77">
        <f t="shared" si="23"/>
        <v>5828576.3519365955</v>
      </c>
      <c r="R101" s="19">
        <f t="shared" si="19"/>
        <v>5828576.3519365955</v>
      </c>
      <c r="S101" s="77">
        <f t="shared" si="20"/>
        <v>391297301.21039778</v>
      </c>
      <c r="T101" s="19">
        <f t="shared" si="24"/>
        <v>5828576.3519365955</v>
      </c>
    </row>
    <row r="102" spans="12:20" x14ac:dyDescent="0.3">
      <c r="L102" s="19">
        <v>99</v>
      </c>
      <c r="M102" s="76">
        <f t="shared" si="17"/>
        <v>47209</v>
      </c>
      <c r="N102" s="77">
        <f t="shared" si="21"/>
        <v>3872089.8458846062</v>
      </c>
      <c r="O102" s="77">
        <f t="shared" si="22"/>
        <v>1956486.506051989</v>
      </c>
      <c r="P102" s="24">
        <f t="shared" si="18"/>
        <v>1956486.506051989</v>
      </c>
      <c r="Q102" s="77">
        <f t="shared" si="23"/>
        <v>5828576.3519365955</v>
      </c>
      <c r="R102" s="19">
        <f t="shared" si="19"/>
        <v>5828576.3519365955</v>
      </c>
      <c r="S102" s="77">
        <f t="shared" si="20"/>
        <v>387425211.36451316</v>
      </c>
      <c r="T102" s="19">
        <f t="shared" si="24"/>
        <v>5828576.3519365955</v>
      </c>
    </row>
    <row r="103" spans="12:20" x14ac:dyDescent="0.3">
      <c r="L103" s="20">
        <v>100</v>
      </c>
      <c r="M103" s="76">
        <f t="shared" si="17"/>
        <v>47239</v>
      </c>
      <c r="N103" s="77">
        <f t="shared" si="21"/>
        <v>3891450.2951140301</v>
      </c>
      <c r="O103" s="77">
        <f t="shared" si="22"/>
        <v>1937126.0568225656</v>
      </c>
      <c r="P103" s="24">
        <f t="shared" si="18"/>
        <v>1937126.0568225656</v>
      </c>
      <c r="Q103" s="77">
        <f t="shared" si="23"/>
        <v>5828576.3519365955</v>
      </c>
      <c r="R103" s="19">
        <f t="shared" si="19"/>
        <v>5828576.3519365955</v>
      </c>
      <c r="S103" s="77">
        <f t="shared" si="20"/>
        <v>383533761.06939912</v>
      </c>
      <c r="T103" s="19">
        <f t="shared" si="24"/>
        <v>5828576.3519365955</v>
      </c>
    </row>
    <row r="104" spans="12:20" x14ac:dyDescent="0.3">
      <c r="L104" s="19">
        <v>101</v>
      </c>
      <c r="M104" s="76">
        <f t="shared" si="17"/>
        <v>47270</v>
      </c>
      <c r="N104" s="77">
        <f t="shared" si="21"/>
        <v>3910907.5465895999</v>
      </c>
      <c r="O104" s="77">
        <f t="shared" si="22"/>
        <v>1917668.8053469956</v>
      </c>
      <c r="P104" s="24">
        <f t="shared" si="18"/>
        <v>1917668.8053469956</v>
      </c>
      <c r="Q104" s="77">
        <f t="shared" si="23"/>
        <v>5828576.3519365955</v>
      </c>
      <c r="R104" s="19">
        <f t="shared" si="19"/>
        <v>5828576.3519365955</v>
      </c>
      <c r="S104" s="77">
        <f t="shared" si="20"/>
        <v>379622853.52280951</v>
      </c>
      <c r="T104" s="19">
        <f t="shared" si="24"/>
        <v>5828576.3519365955</v>
      </c>
    </row>
    <row r="105" spans="12:20" x14ac:dyDescent="0.3">
      <c r="L105" s="20">
        <v>102</v>
      </c>
      <c r="M105" s="76">
        <f t="shared" si="17"/>
        <v>47300</v>
      </c>
      <c r="N105" s="77">
        <f t="shared" si="21"/>
        <v>3930462.0843225485</v>
      </c>
      <c r="O105" s="77">
        <f t="shared" si="22"/>
        <v>1898114.2676140473</v>
      </c>
      <c r="P105" s="24">
        <f t="shared" si="18"/>
        <v>1898114.2676140473</v>
      </c>
      <c r="Q105" s="77">
        <f t="shared" si="23"/>
        <v>5828576.3519365955</v>
      </c>
      <c r="R105" s="19">
        <f t="shared" si="19"/>
        <v>5828576.3519365955</v>
      </c>
      <c r="S105" s="77">
        <f t="shared" si="20"/>
        <v>375692391.43848693</v>
      </c>
      <c r="T105" s="19">
        <f t="shared" si="24"/>
        <v>5828576.3519365955</v>
      </c>
    </row>
    <row r="106" spans="12:20" x14ac:dyDescent="0.3">
      <c r="L106" s="19">
        <v>103</v>
      </c>
      <c r="M106" s="76">
        <f t="shared" si="17"/>
        <v>47331</v>
      </c>
      <c r="N106" s="77">
        <f t="shared" si="21"/>
        <v>3950114.3947441606</v>
      </c>
      <c r="O106" s="77">
        <f t="shared" si="22"/>
        <v>1878461.9571924347</v>
      </c>
      <c r="P106" s="24">
        <f t="shared" si="18"/>
        <v>1878461.9571924347</v>
      </c>
      <c r="Q106" s="77">
        <f t="shared" si="23"/>
        <v>5828576.3519365955</v>
      </c>
      <c r="R106" s="19">
        <f t="shared" si="19"/>
        <v>5828576.3519365955</v>
      </c>
      <c r="S106" s="77">
        <f t="shared" si="20"/>
        <v>371742277.04374278</v>
      </c>
      <c r="T106" s="19">
        <f t="shared" si="24"/>
        <v>5828576.3519365955</v>
      </c>
    </row>
    <row r="107" spans="12:20" x14ac:dyDescent="0.3">
      <c r="L107" s="20">
        <v>104</v>
      </c>
      <c r="M107" s="76">
        <f t="shared" si="17"/>
        <v>47362</v>
      </c>
      <c r="N107" s="77">
        <f t="shared" si="21"/>
        <v>3969864.9667178821</v>
      </c>
      <c r="O107" s="77">
        <f t="shared" si="22"/>
        <v>1858711.3852187137</v>
      </c>
      <c r="P107" s="24">
        <f t="shared" si="18"/>
        <v>1858711.3852187137</v>
      </c>
      <c r="Q107" s="77">
        <f t="shared" si="23"/>
        <v>5828576.3519365955</v>
      </c>
      <c r="R107" s="19">
        <f t="shared" si="19"/>
        <v>5828576.3519365955</v>
      </c>
      <c r="S107" s="77">
        <f t="shared" si="20"/>
        <v>367772412.07702488</v>
      </c>
      <c r="T107" s="19">
        <f t="shared" si="24"/>
        <v>5828576.3519365955</v>
      </c>
    </row>
    <row r="108" spans="12:20" x14ac:dyDescent="0.3">
      <c r="L108" s="19">
        <v>105</v>
      </c>
      <c r="M108" s="76">
        <f t="shared" si="17"/>
        <v>47392</v>
      </c>
      <c r="N108" s="77">
        <f t="shared" si="21"/>
        <v>3989714.2915514708</v>
      </c>
      <c r="O108" s="77">
        <f t="shared" si="22"/>
        <v>1838862.0603851245</v>
      </c>
      <c r="P108" s="24">
        <f t="shared" si="18"/>
        <v>1838862.0603851245</v>
      </c>
      <c r="Q108" s="77">
        <f t="shared" si="23"/>
        <v>5828576.3519365955</v>
      </c>
      <c r="R108" s="19">
        <f t="shared" si="19"/>
        <v>5828576.3519365955</v>
      </c>
      <c r="S108" s="77">
        <f t="shared" si="20"/>
        <v>363782697.78547341</v>
      </c>
      <c r="T108" s="19">
        <f t="shared" si="24"/>
        <v>5828576.3519365955</v>
      </c>
    </row>
    <row r="109" spans="12:20" x14ac:dyDescent="0.3">
      <c r="L109" s="20">
        <v>106</v>
      </c>
      <c r="M109" s="76">
        <f t="shared" si="17"/>
        <v>47423</v>
      </c>
      <c r="N109" s="77">
        <f t="shared" si="21"/>
        <v>4009662.8630092284</v>
      </c>
      <c r="O109" s="77">
        <f t="shared" si="22"/>
        <v>1818913.4889273669</v>
      </c>
      <c r="P109" s="24">
        <f t="shared" si="18"/>
        <v>1818913.4889273669</v>
      </c>
      <c r="Q109" s="77">
        <f t="shared" si="23"/>
        <v>5828576.3519365955</v>
      </c>
      <c r="R109" s="19">
        <f t="shared" si="19"/>
        <v>5828576.3519365955</v>
      </c>
      <c r="S109" s="77">
        <f t="shared" si="20"/>
        <v>359773034.92246419</v>
      </c>
      <c r="T109" s="19">
        <f t="shared" si="24"/>
        <v>5828576.3519365955</v>
      </c>
    </row>
    <row r="110" spans="12:20" x14ac:dyDescent="0.3">
      <c r="L110" s="19">
        <v>107</v>
      </c>
      <c r="M110" s="76">
        <f t="shared" si="17"/>
        <v>47453</v>
      </c>
      <c r="N110" s="77">
        <f t="shared" si="21"/>
        <v>4029711.1773242746</v>
      </c>
      <c r="O110" s="77">
        <f t="shared" si="22"/>
        <v>1798865.174612321</v>
      </c>
      <c r="P110" s="24">
        <f t="shared" si="18"/>
        <v>1798865.174612321</v>
      </c>
      <c r="Q110" s="77">
        <f t="shared" si="23"/>
        <v>5828576.3519365955</v>
      </c>
      <c r="R110" s="19">
        <f t="shared" si="19"/>
        <v>5828576.3519365955</v>
      </c>
      <c r="S110" s="77">
        <f t="shared" si="20"/>
        <v>355743323.7451399</v>
      </c>
      <c r="T110" s="19">
        <f t="shared" si="24"/>
        <v>5828576.3519365955</v>
      </c>
    </row>
    <row r="111" spans="12:20" x14ac:dyDescent="0.3">
      <c r="L111" s="20">
        <v>108</v>
      </c>
      <c r="M111" s="76">
        <f t="shared" si="17"/>
        <v>47484</v>
      </c>
      <c r="N111" s="77">
        <f t="shared" si="21"/>
        <v>4049859.7332108961</v>
      </c>
      <c r="O111" s="77">
        <f t="shared" si="22"/>
        <v>1778716.6187256994</v>
      </c>
      <c r="P111" s="24">
        <f t="shared" si="18"/>
        <v>1778716.6187256994</v>
      </c>
      <c r="Q111" s="77">
        <f t="shared" si="23"/>
        <v>5828576.3519365955</v>
      </c>
      <c r="R111" s="19">
        <f t="shared" si="19"/>
        <v>5828576.3519365955</v>
      </c>
      <c r="S111" s="77">
        <f t="shared" si="20"/>
        <v>351693464.01192898</v>
      </c>
      <c r="T111" s="19">
        <f t="shared" si="24"/>
        <v>5828576.3519365955</v>
      </c>
    </row>
    <row r="112" spans="12:20" x14ac:dyDescent="0.3">
      <c r="L112" s="19">
        <v>109</v>
      </c>
      <c r="M112" s="76">
        <f t="shared" si="17"/>
        <v>47515</v>
      </c>
      <c r="N112" s="77">
        <f t="shared" si="21"/>
        <v>4070109.0318769505</v>
      </c>
      <c r="O112" s="77">
        <f t="shared" si="22"/>
        <v>1758467.3200596448</v>
      </c>
      <c r="P112" s="24">
        <f t="shared" si="18"/>
        <v>1758467.3200596448</v>
      </c>
      <c r="Q112" s="77">
        <f t="shared" si="23"/>
        <v>5828576.3519365955</v>
      </c>
      <c r="R112" s="19">
        <f t="shared" si="19"/>
        <v>5828576.3519365955</v>
      </c>
      <c r="S112" s="77">
        <f t="shared" si="20"/>
        <v>347623354.98005205</v>
      </c>
      <c r="T112" s="19">
        <f t="shared" si="24"/>
        <v>5828576.3519365955</v>
      </c>
    </row>
    <row r="113" spans="12:20" x14ac:dyDescent="0.3">
      <c r="L113" s="20">
        <v>110</v>
      </c>
      <c r="M113" s="76">
        <f t="shared" si="17"/>
        <v>47543</v>
      </c>
      <c r="N113" s="77">
        <f t="shared" si="21"/>
        <v>4090459.5770363351</v>
      </c>
      <c r="O113" s="77">
        <f t="shared" si="22"/>
        <v>1738116.7749002601</v>
      </c>
      <c r="P113" s="24">
        <f t="shared" si="18"/>
        <v>1738116.7749002601</v>
      </c>
      <c r="Q113" s="77">
        <f t="shared" si="23"/>
        <v>5828576.3519365955</v>
      </c>
      <c r="R113" s="19">
        <f t="shared" si="19"/>
        <v>5828576.3519365955</v>
      </c>
      <c r="S113" s="77">
        <f t="shared" si="20"/>
        <v>343532895.40301573</v>
      </c>
      <c r="T113" s="19">
        <f t="shared" si="24"/>
        <v>5828576.3519365955</v>
      </c>
    </row>
    <row r="114" spans="12:20" x14ac:dyDescent="0.3">
      <c r="L114" s="19">
        <v>111</v>
      </c>
      <c r="M114" s="76">
        <f t="shared" si="17"/>
        <v>47574</v>
      </c>
      <c r="N114" s="77">
        <f t="shared" si="21"/>
        <v>4110911.8749215165</v>
      </c>
      <c r="O114" s="77">
        <f t="shared" si="22"/>
        <v>1717664.4770150788</v>
      </c>
      <c r="P114" s="24">
        <f t="shared" si="18"/>
        <v>1717664.4770150788</v>
      </c>
      <c r="Q114" s="77">
        <f t="shared" si="23"/>
        <v>5828576.3519365955</v>
      </c>
      <c r="R114" s="19">
        <f t="shared" si="19"/>
        <v>5828576.3519365955</v>
      </c>
      <c r="S114" s="77">
        <f t="shared" si="20"/>
        <v>339421983.52809423</v>
      </c>
      <c r="T114" s="19">
        <f t="shared" si="24"/>
        <v>5828576.3519365955</v>
      </c>
    </row>
    <row r="115" spans="12:20" x14ac:dyDescent="0.3">
      <c r="L115" s="20">
        <v>112</v>
      </c>
      <c r="M115" s="76">
        <f t="shared" si="17"/>
        <v>47604</v>
      </c>
      <c r="N115" s="77">
        <f t="shared" si="21"/>
        <v>4131466.4342961246</v>
      </c>
      <c r="O115" s="77">
        <f t="shared" si="22"/>
        <v>1697109.9176404711</v>
      </c>
      <c r="P115" s="24">
        <f t="shared" si="18"/>
        <v>1697109.9176404711</v>
      </c>
      <c r="Q115" s="77">
        <f t="shared" si="23"/>
        <v>5828576.3519365955</v>
      </c>
      <c r="R115" s="19">
        <f t="shared" si="19"/>
        <v>5828576.3519365955</v>
      </c>
      <c r="S115" s="77">
        <f t="shared" si="20"/>
        <v>335290517.0937981</v>
      </c>
      <c r="T115" s="19">
        <f t="shared" si="24"/>
        <v>5828576.3519365955</v>
      </c>
    </row>
    <row r="116" spans="12:20" x14ac:dyDescent="0.3">
      <c r="L116" s="19">
        <v>113</v>
      </c>
      <c r="M116" s="76">
        <f t="shared" si="17"/>
        <v>47635</v>
      </c>
      <c r="N116" s="77">
        <f t="shared" si="21"/>
        <v>4152123.7664676048</v>
      </c>
      <c r="O116" s="77">
        <f t="shared" si="22"/>
        <v>1676452.5854689905</v>
      </c>
      <c r="P116" s="24">
        <f t="shared" si="18"/>
        <v>1676452.5854689905</v>
      </c>
      <c r="Q116" s="77">
        <f t="shared" si="23"/>
        <v>5828576.3519365955</v>
      </c>
      <c r="R116" s="19">
        <f t="shared" si="19"/>
        <v>5828576.3519365955</v>
      </c>
      <c r="S116" s="77">
        <f t="shared" si="20"/>
        <v>331138393.32733047</v>
      </c>
      <c r="T116" s="19">
        <f t="shared" si="24"/>
        <v>5828576.3519365955</v>
      </c>
    </row>
    <row r="117" spans="12:20" x14ac:dyDescent="0.3">
      <c r="L117" s="20">
        <v>114</v>
      </c>
      <c r="M117" s="76">
        <f t="shared" si="17"/>
        <v>47665</v>
      </c>
      <c r="N117" s="77">
        <f t="shared" si="21"/>
        <v>4172884.3852999434</v>
      </c>
      <c r="O117" s="77">
        <f t="shared" si="22"/>
        <v>1655691.9666366524</v>
      </c>
      <c r="P117" s="24">
        <f t="shared" si="18"/>
        <v>1655691.9666366524</v>
      </c>
      <c r="Q117" s="77">
        <f t="shared" si="23"/>
        <v>5828576.3519365955</v>
      </c>
      <c r="R117" s="19">
        <f t="shared" si="19"/>
        <v>5828576.3519365955</v>
      </c>
      <c r="S117" s="77">
        <f t="shared" si="20"/>
        <v>326965508.94203055</v>
      </c>
      <c r="T117" s="19">
        <f t="shared" si="24"/>
        <v>5828576.3519365955</v>
      </c>
    </row>
    <row r="118" spans="12:20" x14ac:dyDescent="0.3">
      <c r="L118" s="19">
        <v>115</v>
      </c>
      <c r="M118" s="76">
        <f t="shared" si="17"/>
        <v>47696</v>
      </c>
      <c r="N118" s="77">
        <f t="shared" si="21"/>
        <v>4193748.8072264427</v>
      </c>
      <c r="O118" s="77">
        <f t="shared" si="22"/>
        <v>1634827.5447101528</v>
      </c>
      <c r="P118" s="24">
        <f t="shared" si="18"/>
        <v>1634827.5447101528</v>
      </c>
      <c r="Q118" s="77">
        <f t="shared" si="23"/>
        <v>5828576.3519365955</v>
      </c>
      <c r="R118" s="19">
        <f t="shared" si="19"/>
        <v>5828576.3519365955</v>
      </c>
      <c r="S118" s="77">
        <f t="shared" si="20"/>
        <v>322771760.13480413</v>
      </c>
      <c r="T118" s="19">
        <f t="shared" si="24"/>
        <v>5828576.3519365955</v>
      </c>
    </row>
    <row r="119" spans="12:20" x14ac:dyDescent="0.3">
      <c r="L119" s="20">
        <v>116</v>
      </c>
      <c r="M119" s="76">
        <f t="shared" si="17"/>
        <v>47727</v>
      </c>
      <c r="N119" s="77">
        <f t="shared" si="21"/>
        <v>4214717.5512625752</v>
      </c>
      <c r="O119" s="77">
        <f t="shared" si="22"/>
        <v>1613858.8006740205</v>
      </c>
      <c r="P119" s="24">
        <f t="shared" si="18"/>
        <v>1613858.8006740205</v>
      </c>
      <c r="Q119" s="77">
        <f t="shared" si="23"/>
        <v>5828576.3519365955</v>
      </c>
      <c r="R119" s="19">
        <f t="shared" si="19"/>
        <v>5828576.3519365955</v>
      </c>
      <c r="S119" s="77">
        <f t="shared" si="20"/>
        <v>318557042.58354157</v>
      </c>
      <c r="T119" s="19">
        <f t="shared" si="24"/>
        <v>5828576.3519365955</v>
      </c>
    </row>
    <row r="120" spans="12:20" x14ac:dyDescent="0.3">
      <c r="L120" s="19">
        <v>117</v>
      </c>
      <c r="M120" s="76">
        <f t="shared" si="17"/>
        <v>47757</v>
      </c>
      <c r="N120" s="77">
        <f t="shared" si="21"/>
        <v>4235791.1390188877</v>
      </c>
      <c r="O120" s="77">
        <f t="shared" si="22"/>
        <v>1592785.2129177079</v>
      </c>
      <c r="P120" s="24">
        <f t="shared" si="18"/>
        <v>1592785.2129177079</v>
      </c>
      <c r="Q120" s="77">
        <f t="shared" si="23"/>
        <v>5828576.3519365955</v>
      </c>
      <c r="R120" s="19">
        <f t="shared" si="19"/>
        <v>5828576.3519365955</v>
      </c>
      <c r="S120" s="77">
        <f t="shared" si="20"/>
        <v>314321251.44452268</v>
      </c>
      <c r="T120" s="19">
        <f t="shared" si="24"/>
        <v>5828576.3519365955</v>
      </c>
    </row>
    <row r="121" spans="12:20" x14ac:dyDescent="0.3">
      <c r="L121" s="20">
        <v>118</v>
      </c>
      <c r="M121" s="76">
        <f t="shared" si="17"/>
        <v>47788</v>
      </c>
      <c r="N121" s="77">
        <f t="shared" si="21"/>
        <v>4256970.0947139822</v>
      </c>
      <c r="O121" s="77">
        <f t="shared" si="22"/>
        <v>1571606.2572226133</v>
      </c>
      <c r="P121" s="24">
        <f t="shared" si="18"/>
        <v>1571606.2572226133</v>
      </c>
      <c r="Q121" s="77">
        <f t="shared" si="23"/>
        <v>5828576.3519365955</v>
      </c>
      <c r="R121" s="19">
        <f t="shared" si="19"/>
        <v>5828576.3519365955</v>
      </c>
      <c r="S121" s="77">
        <f t="shared" si="20"/>
        <v>310064281.34980869</v>
      </c>
      <c r="T121" s="19">
        <f t="shared" si="24"/>
        <v>5828576.3519365955</v>
      </c>
    </row>
    <row r="122" spans="12:20" x14ac:dyDescent="0.3">
      <c r="L122" s="19">
        <v>119</v>
      </c>
      <c r="M122" s="76">
        <f t="shared" si="17"/>
        <v>47818</v>
      </c>
      <c r="N122" s="77">
        <f t="shared" si="21"/>
        <v>4278254.9451875519</v>
      </c>
      <c r="O122" s="77">
        <f t="shared" si="22"/>
        <v>1550321.4067490434</v>
      </c>
      <c r="P122" s="24">
        <f t="shared" si="18"/>
        <v>1550321.4067490434</v>
      </c>
      <c r="Q122" s="77">
        <f t="shared" si="23"/>
        <v>5828576.3519365955</v>
      </c>
      <c r="R122" s="19">
        <f t="shared" si="19"/>
        <v>5828576.3519365955</v>
      </c>
      <c r="S122" s="77">
        <f t="shared" si="20"/>
        <v>305786026.40462112</v>
      </c>
      <c r="T122" s="19">
        <f t="shared" si="24"/>
        <v>5828576.3519365955</v>
      </c>
    </row>
    <row r="123" spans="12:20" x14ac:dyDescent="0.3">
      <c r="L123" s="20">
        <v>120</v>
      </c>
      <c r="M123" s="76">
        <f t="shared" si="17"/>
        <v>47849</v>
      </c>
      <c r="N123" s="77">
        <f t="shared" si="21"/>
        <v>4299646.2199134901</v>
      </c>
      <c r="O123" s="77">
        <f t="shared" si="22"/>
        <v>1528930.1320231056</v>
      </c>
      <c r="P123" s="24">
        <f t="shared" si="18"/>
        <v>1528930.1320231056</v>
      </c>
      <c r="Q123" s="77">
        <f t="shared" si="23"/>
        <v>5828576.3519365955</v>
      </c>
      <c r="R123" s="19">
        <f t="shared" si="19"/>
        <v>5828576.3519365955</v>
      </c>
      <c r="S123" s="77">
        <f t="shared" si="20"/>
        <v>301486380.18470764</v>
      </c>
      <c r="T123" s="19">
        <f t="shared" si="24"/>
        <v>5828576.3519365955</v>
      </c>
    </row>
    <row r="124" spans="12:20" x14ac:dyDescent="0.3">
      <c r="L124" s="19">
        <v>121</v>
      </c>
      <c r="M124" s="76">
        <f t="shared" si="17"/>
        <v>47880</v>
      </c>
      <c r="N124" s="77">
        <f t="shared" si="21"/>
        <v>4321144.4510130575</v>
      </c>
      <c r="O124" s="77">
        <f t="shared" si="22"/>
        <v>1507431.900923538</v>
      </c>
      <c r="P124" s="24">
        <f t="shared" si="18"/>
        <v>1507431.900923538</v>
      </c>
      <c r="Q124" s="77">
        <f t="shared" si="23"/>
        <v>5828576.3519365955</v>
      </c>
      <c r="R124" s="19">
        <f t="shared" si="19"/>
        <v>5828576.3519365955</v>
      </c>
      <c r="S124" s="77">
        <f t="shared" si="20"/>
        <v>297165235.73369461</v>
      </c>
      <c r="T124" s="19">
        <f t="shared" si="24"/>
        <v>5828576.3519365955</v>
      </c>
    </row>
    <row r="125" spans="12:20" x14ac:dyDescent="0.3">
      <c r="L125" s="20">
        <v>122</v>
      </c>
      <c r="M125" s="76">
        <f t="shared" si="17"/>
        <v>47908</v>
      </c>
      <c r="N125" s="77">
        <f t="shared" si="21"/>
        <v>4342750.1732681226</v>
      </c>
      <c r="O125" s="77">
        <f t="shared" si="22"/>
        <v>1485826.1786684729</v>
      </c>
      <c r="P125" s="24">
        <f t="shared" si="18"/>
        <v>1485826.1786684729</v>
      </c>
      <c r="Q125" s="77">
        <f t="shared" si="23"/>
        <v>5828576.3519365955</v>
      </c>
      <c r="R125" s="19">
        <f t="shared" si="19"/>
        <v>5828576.3519365955</v>
      </c>
      <c r="S125" s="77">
        <f t="shared" si="20"/>
        <v>292822485.56042647</v>
      </c>
      <c r="T125" s="19">
        <f t="shared" si="24"/>
        <v>5828576.3519365955</v>
      </c>
    </row>
    <row r="126" spans="12:20" x14ac:dyDescent="0.3">
      <c r="L126" s="19">
        <v>123</v>
      </c>
      <c r="M126" s="76">
        <f t="shared" si="17"/>
        <v>47939</v>
      </c>
      <c r="N126" s="77">
        <f t="shared" si="21"/>
        <v>4364463.9241344631</v>
      </c>
      <c r="O126" s="77">
        <f t="shared" si="22"/>
        <v>1464112.4278021324</v>
      </c>
      <c r="P126" s="24">
        <f t="shared" si="18"/>
        <v>1464112.4278021324</v>
      </c>
      <c r="Q126" s="77">
        <f t="shared" si="23"/>
        <v>5828576.3519365955</v>
      </c>
      <c r="R126" s="19">
        <f t="shared" si="19"/>
        <v>5828576.3519365955</v>
      </c>
      <c r="S126" s="77">
        <f t="shared" si="20"/>
        <v>288458021.63629198</v>
      </c>
      <c r="T126" s="19">
        <f t="shared" si="24"/>
        <v>5828576.3519365955</v>
      </c>
    </row>
    <row r="127" spans="12:20" x14ac:dyDescent="0.3">
      <c r="L127" s="20">
        <v>124</v>
      </c>
      <c r="M127" s="76">
        <f t="shared" si="17"/>
        <v>47969</v>
      </c>
      <c r="N127" s="77">
        <f t="shared" si="21"/>
        <v>4386286.2437551357</v>
      </c>
      <c r="O127" s="77">
        <f t="shared" si="22"/>
        <v>1442290.1081814598</v>
      </c>
      <c r="P127" s="24">
        <f t="shared" si="18"/>
        <v>1442290.1081814598</v>
      </c>
      <c r="Q127" s="77">
        <f t="shared" si="23"/>
        <v>5828576.3519365955</v>
      </c>
      <c r="R127" s="19">
        <f t="shared" si="19"/>
        <v>5828576.3519365955</v>
      </c>
      <c r="S127" s="77">
        <f t="shared" si="20"/>
        <v>284071735.39253682</v>
      </c>
      <c r="T127" s="19">
        <f t="shared" si="24"/>
        <v>5828576.3519365955</v>
      </c>
    </row>
    <row r="128" spans="12:20" x14ac:dyDescent="0.3">
      <c r="L128" s="19">
        <v>125</v>
      </c>
      <c r="M128" s="76">
        <f t="shared" si="17"/>
        <v>48000</v>
      </c>
      <c r="N128" s="77">
        <f t="shared" si="21"/>
        <v>4408217.6749739116</v>
      </c>
      <c r="O128" s="77">
        <f t="shared" si="22"/>
        <v>1420358.6769626839</v>
      </c>
      <c r="P128" s="24">
        <f t="shared" si="18"/>
        <v>1420358.6769626839</v>
      </c>
      <c r="Q128" s="77">
        <f t="shared" si="23"/>
        <v>5828576.3519365955</v>
      </c>
      <c r="R128" s="19">
        <f t="shared" si="19"/>
        <v>5828576.3519365955</v>
      </c>
      <c r="S128" s="77">
        <f t="shared" si="20"/>
        <v>279663517.71756291</v>
      </c>
      <c r="T128" s="19">
        <f t="shared" si="24"/>
        <v>5828576.3519365955</v>
      </c>
    </row>
    <row r="129" spans="12:20" x14ac:dyDescent="0.3">
      <c r="L129" s="20">
        <v>126</v>
      </c>
      <c r="M129" s="76">
        <f t="shared" si="17"/>
        <v>48030</v>
      </c>
      <c r="N129" s="77">
        <f t="shared" si="21"/>
        <v>4430258.7633487806</v>
      </c>
      <c r="O129" s="77">
        <f t="shared" si="22"/>
        <v>1398317.5885878147</v>
      </c>
      <c r="P129" s="24">
        <f t="shared" si="18"/>
        <v>1398317.5885878147</v>
      </c>
      <c r="Q129" s="77">
        <f t="shared" si="23"/>
        <v>5828576.3519365955</v>
      </c>
      <c r="R129" s="19">
        <f t="shared" si="19"/>
        <v>5828576.3519365955</v>
      </c>
      <c r="S129" s="77">
        <f t="shared" si="20"/>
        <v>275233258.95421416</v>
      </c>
      <c r="T129" s="19">
        <f t="shared" si="24"/>
        <v>5828576.3519365955</v>
      </c>
    </row>
    <row r="130" spans="12:20" x14ac:dyDescent="0.3">
      <c r="L130" s="19">
        <v>127</v>
      </c>
      <c r="M130" s="76">
        <f t="shared" si="17"/>
        <v>48061</v>
      </c>
      <c r="N130" s="77">
        <f t="shared" si="21"/>
        <v>4452410.0571655249</v>
      </c>
      <c r="O130" s="77">
        <f t="shared" si="22"/>
        <v>1376166.2947710708</v>
      </c>
      <c r="P130" s="24">
        <f t="shared" si="18"/>
        <v>1376166.2947710708</v>
      </c>
      <c r="Q130" s="77">
        <f t="shared" si="23"/>
        <v>5828576.3519365955</v>
      </c>
      <c r="R130" s="19">
        <f t="shared" si="19"/>
        <v>5828576.3519365955</v>
      </c>
      <c r="S130" s="77">
        <f t="shared" si="20"/>
        <v>270780848.89704865</v>
      </c>
      <c r="T130" s="19">
        <f t="shared" si="24"/>
        <v>5828576.3519365955</v>
      </c>
    </row>
    <row r="131" spans="12:20" x14ac:dyDescent="0.3">
      <c r="L131" s="20">
        <v>128</v>
      </c>
      <c r="M131" s="76">
        <f t="shared" si="17"/>
        <v>48092</v>
      </c>
      <c r="N131" s="77">
        <f t="shared" si="21"/>
        <v>4474672.1074513523</v>
      </c>
      <c r="O131" s="77">
        <f t="shared" si="22"/>
        <v>1353904.2444852432</v>
      </c>
      <c r="P131" s="24">
        <f t="shared" si="18"/>
        <v>1353904.2444852432</v>
      </c>
      <c r="Q131" s="77">
        <f t="shared" si="23"/>
        <v>5828576.3519365955</v>
      </c>
      <c r="R131" s="19">
        <f t="shared" si="19"/>
        <v>5828576.3519365955</v>
      </c>
      <c r="S131" s="77">
        <f t="shared" si="20"/>
        <v>266306176.7895973</v>
      </c>
      <c r="T131" s="19">
        <f t="shared" si="24"/>
        <v>5828576.3519365955</v>
      </c>
    </row>
    <row r="132" spans="12:20" x14ac:dyDescent="0.3">
      <c r="L132" s="19">
        <v>129</v>
      </c>
      <c r="M132" s="76">
        <f t="shared" ref="M132:M195" si="25">EDATE($Y$13,L132)</f>
        <v>48122</v>
      </c>
      <c r="N132" s="77">
        <f t="shared" si="21"/>
        <v>4497045.4679886093</v>
      </c>
      <c r="O132" s="77">
        <f t="shared" si="22"/>
        <v>1331530.8839479864</v>
      </c>
      <c r="P132" s="24">
        <f t="shared" ref="P132:P195" si="26">IF(S132&gt;0,O132,IF(R132&gt;0,O132,0))</f>
        <v>1331530.8839479864</v>
      </c>
      <c r="Q132" s="77">
        <f t="shared" si="23"/>
        <v>5828576.3519365955</v>
      </c>
      <c r="R132" s="19">
        <f t="shared" si="19"/>
        <v>5828576.3519365955</v>
      </c>
      <c r="S132" s="77">
        <f t="shared" si="20"/>
        <v>261809131.32160869</v>
      </c>
      <c r="T132" s="19">
        <f t="shared" si="24"/>
        <v>5828576.3519365955</v>
      </c>
    </row>
    <row r="133" spans="12:20" x14ac:dyDescent="0.3">
      <c r="L133" s="20">
        <v>130</v>
      </c>
      <c r="M133" s="76">
        <f t="shared" si="25"/>
        <v>48153</v>
      </c>
      <c r="N133" s="77">
        <f t="shared" si="21"/>
        <v>4519530.6953285523</v>
      </c>
      <c r="O133" s="77">
        <f t="shared" si="22"/>
        <v>1309045.6566080435</v>
      </c>
      <c r="P133" s="24">
        <f t="shared" si="26"/>
        <v>1309045.6566080435</v>
      </c>
      <c r="Q133" s="77">
        <f t="shared" si="23"/>
        <v>5828576.3519365955</v>
      </c>
      <c r="R133" s="19">
        <f t="shared" ref="R133:R196" si="27">IF(L133&gt;$Y$12,0,(IF(L133&lt;=$V$17,0,$Y$14)))</f>
        <v>5828576.3519365955</v>
      </c>
      <c r="S133" s="77">
        <f t="shared" ref="S133:S196" si="28">S132-N133</f>
        <v>257289600.62628013</v>
      </c>
      <c r="T133" s="19">
        <f t="shared" si="24"/>
        <v>5828576.3519365955</v>
      </c>
    </row>
    <row r="134" spans="12:20" x14ac:dyDescent="0.3">
      <c r="L134" s="19">
        <v>131</v>
      </c>
      <c r="M134" s="76">
        <f t="shared" si="25"/>
        <v>48183</v>
      </c>
      <c r="N134" s="77">
        <f t="shared" ref="N134:N197" si="29">IF(L134&lt;=$V$17,0,(IF(L134&lt;=$Y$12,R134-O134,0)))</f>
        <v>4542128.3488051947</v>
      </c>
      <c r="O134" s="77">
        <f t="shared" ref="O134:O197" si="30">S133*$V$15/12</f>
        <v>1286448.0031314006</v>
      </c>
      <c r="P134" s="24">
        <f t="shared" si="26"/>
        <v>1286448.0031314006</v>
      </c>
      <c r="Q134" s="77">
        <f t="shared" ref="Q134:Q197" si="31">IF(L134&gt;SUM($V$16:$V$17),0,SUM(N134,P134))</f>
        <v>5828576.3519365955</v>
      </c>
      <c r="R134" s="19">
        <f t="shared" si="27"/>
        <v>5828576.3519365955</v>
      </c>
      <c r="S134" s="77">
        <f t="shared" si="28"/>
        <v>252747472.27747494</v>
      </c>
      <c r="T134" s="19">
        <f t="shared" ref="T134:T197" si="32">N134+P134</f>
        <v>5828576.3519365955</v>
      </c>
    </row>
    <row r="135" spans="12:20" x14ac:dyDescent="0.3">
      <c r="L135" s="20">
        <v>132</v>
      </c>
      <c r="M135" s="76">
        <f t="shared" si="25"/>
        <v>48214</v>
      </c>
      <c r="N135" s="77">
        <f t="shared" si="29"/>
        <v>4564838.9905492207</v>
      </c>
      <c r="O135" s="77">
        <f t="shared" si="30"/>
        <v>1263737.3613873746</v>
      </c>
      <c r="P135" s="24">
        <f t="shared" si="26"/>
        <v>1263737.3613873746</v>
      </c>
      <c r="Q135" s="77">
        <f t="shared" si="31"/>
        <v>5828576.3519365955</v>
      </c>
      <c r="R135" s="19">
        <f t="shared" si="27"/>
        <v>5828576.3519365955</v>
      </c>
      <c r="S135" s="77">
        <f t="shared" si="28"/>
        <v>248182633.28692573</v>
      </c>
      <c r="T135" s="19">
        <f t="shared" si="32"/>
        <v>5828576.3519365955</v>
      </c>
    </row>
    <row r="136" spans="12:20" x14ac:dyDescent="0.3">
      <c r="L136" s="19">
        <v>133</v>
      </c>
      <c r="M136" s="76">
        <f t="shared" si="25"/>
        <v>48245</v>
      </c>
      <c r="N136" s="77">
        <f t="shared" si="29"/>
        <v>4587663.1855019666</v>
      </c>
      <c r="O136" s="77">
        <f t="shared" si="30"/>
        <v>1240913.1664346287</v>
      </c>
      <c r="P136" s="24">
        <f t="shared" si="26"/>
        <v>1240913.1664346287</v>
      </c>
      <c r="Q136" s="77">
        <f t="shared" si="31"/>
        <v>5828576.3519365955</v>
      </c>
      <c r="R136" s="19">
        <f t="shared" si="27"/>
        <v>5828576.3519365955</v>
      </c>
      <c r="S136" s="77">
        <f t="shared" si="28"/>
        <v>243594970.10142377</v>
      </c>
      <c r="T136" s="19">
        <f t="shared" si="32"/>
        <v>5828576.3519365955</v>
      </c>
    </row>
    <row r="137" spans="12:20" x14ac:dyDescent="0.3">
      <c r="L137" s="20">
        <v>134</v>
      </c>
      <c r="M137" s="76">
        <f t="shared" si="25"/>
        <v>48274</v>
      </c>
      <c r="N137" s="77">
        <f t="shared" si="29"/>
        <v>4610601.5014294768</v>
      </c>
      <c r="O137" s="77">
        <f t="shared" si="30"/>
        <v>1217974.8505071187</v>
      </c>
      <c r="P137" s="24">
        <f t="shared" si="26"/>
        <v>1217974.8505071187</v>
      </c>
      <c r="Q137" s="77">
        <f t="shared" si="31"/>
        <v>5828576.3519365955</v>
      </c>
      <c r="R137" s="19">
        <f t="shared" si="27"/>
        <v>5828576.3519365955</v>
      </c>
      <c r="S137" s="77">
        <f t="shared" si="28"/>
        <v>238984368.5999943</v>
      </c>
      <c r="T137" s="19">
        <f t="shared" si="32"/>
        <v>5828576.3519365955</v>
      </c>
    </row>
    <row r="138" spans="12:20" x14ac:dyDescent="0.3">
      <c r="L138" s="19">
        <v>135</v>
      </c>
      <c r="M138" s="76">
        <f t="shared" si="25"/>
        <v>48305</v>
      </c>
      <c r="N138" s="77">
        <f t="shared" si="29"/>
        <v>4633654.508936624</v>
      </c>
      <c r="O138" s="77">
        <f t="shared" si="30"/>
        <v>1194921.8429999715</v>
      </c>
      <c r="P138" s="24">
        <f t="shared" si="26"/>
        <v>1194921.8429999715</v>
      </c>
      <c r="Q138" s="77">
        <f t="shared" si="31"/>
        <v>5828576.3519365955</v>
      </c>
      <c r="R138" s="19">
        <f t="shared" si="27"/>
        <v>5828576.3519365955</v>
      </c>
      <c r="S138" s="77">
        <f t="shared" si="28"/>
        <v>234350714.09105769</v>
      </c>
      <c r="T138" s="19">
        <f t="shared" si="32"/>
        <v>5828576.3519365955</v>
      </c>
    </row>
    <row r="139" spans="12:20" x14ac:dyDescent="0.3">
      <c r="L139" s="20">
        <v>136</v>
      </c>
      <c r="M139" s="76">
        <f t="shared" si="25"/>
        <v>48335</v>
      </c>
      <c r="N139" s="77">
        <f t="shared" si="29"/>
        <v>4656822.781481307</v>
      </c>
      <c r="O139" s="77">
        <f t="shared" si="30"/>
        <v>1171753.5704552883</v>
      </c>
      <c r="P139" s="24">
        <f t="shared" si="26"/>
        <v>1171753.5704552883</v>
      </c>
      <c r="Q139" s="77">
        <f t="shared" si="31"/>
        <v>5828576.3519365955</v>
      </c>
      <c r="R139" s="19">
        <f t="shared" si="27"/>
        <v>5828576.3519365955</v>
      </c>
      <c r="S139" s="77">
        <f t="shared" si="28"/>
        <v>229693891.30957639</v>
      </c>
      <c r="T139" s="19">
        <f t="shared" si="32"/>
        <v>5828576.3519365955</v>
      </c>
    </row>
    <row r="140" spans="12:20" x14ac:dyDescent="0.3">
      <c r="L140" s="19">
        <v>137</v>
      </c>
      <c r="M140" s="76">
        <f t="shared" si="25"/>
        <v>48366</v>
      </c>
      <c r="N140" s="77">
        <f t="shared" si="29"/>
        <v>4680106.8953887131</v>
      </c>
      <c r="O140" s="77">
        <f t="shared" si="30"/>
        <v>1148469.4565478819</v>
      </c>
      <c r="P140" s="24">
        <f t="shared" si="26"/>
        <v>1148469.4565478819</v>
      </c>
      <c r="Q140" s="77">
        <f t="shared" si="31"/>
        <v>5828576.3519365955</v>
      </c>
      <c r="R140" s="19">
        <f t="shared" si="27"/>
        <v>5828576.3519365955</v>
      </c>
      <c r="S140" s="77">
        <f t="shared" si="28"/>
        <v>225013784.41418767</v>
      </c>
      <c r="T140" s="19">
        <f t="shared" si="32"/>
        <v>5828576.3519365955</v>
      </c>
    </row>
    <row r="141" spans="12:20" x14ac:dyDescent="0.3">
      <c r="L141" s="20">
        <v>138</v>
      </c>
      <c r="M141" s="76">
        <f t="shared" si="25"/>
        <v>48396</v>
      </c>
      <c r="N141" s="77">
        <f t="shared" si="29"/>
        <v>4703507.4298656574</v>
      </c>
      <c r="O141" s="77">
        <f t="shared" si="30"/>
        <v>1125068.9220709384</v>
      </c>
      <c r="P141" s="24">
        <f t="shared" si="26"/>
        <v>1125068.9220709384</v>
      </c>
      <c r="Q141" s="77">
        <f t="shared" si="31"/>
        <v>5828576.3519365955</v>
      </c>
      <c r="R141" s="19">
        <f t="shared" si="27"/>
        <v>5828576.3519365955</v>
      </c>
      <c r="S141" s="77">
        <f t="shared" si="28"/>
        <v>220310276.98432201</v>
      </c>
      <c r="T141" s="19">
        <f t="shared" si="32"/>
        <v>5828576.3519365955</v>
      </c>
    </row>
    <row r="142" spans="12:20" x14ac:dyDescent="0.3">
      <c r="L142" s="19">
        <v>139</v>
      </c>
      <c r="M142" s="76">
        <f t="shared" si="25"/>
        <v>48427</v>
      </c>
      <c r="N142" s="77">
        <f t="shared" si="29"/>
        <v>4727024.9670149852</v>
      </c>
      <c r="O142" s="77">
        <f t="shared" si="30"/>
        <v>1101551.3849216101</v>
      </c>
      <c r="P142" s="24">
        <f t="shared" si="26"/>
        <v>1101551.3849216101</v>
      </c>
      <c r="Q142" s="77">
        <f t="shared" si="31"/>
        <v>5828576.3519365955</v>
      </c>
      <c r="R142" s="19">
        <f t="shared" si="27"/>
        <v>5828576.3519365955</v>
      </c>
      <c r="S142" s="77">
        <f t="shared" si="28"/>
        <v>215583252.01730701</v>
      </c>
      <c r="T142" s="19">
        <f t="shared" si="32"/>
        <v>5828576.3519365955</v>
      </c>
    </row>
    <row r="143" spans="12:20" x14ac:dyDescent="0.3">
      <c r="L143" s="20">
        <v>140</v>
      </c>
      <c r="M143" s="76">
        <f t="shared" si="25"/>
        <v>48458</v>
      </c>
      <c r="N143" s="77">
        <f t="shared" si="29"/>
        <v>4750660.091850061</v>
      </c>
      <c r="O143" s="77">
        <f t="shared" si="30"/>
        <v>1077916.260086535</v>
      </c>
      <c r="P143" s="24">
        <f t="shared" si="26"/>
        <v>1077916.260086535</v>
      </c>
      <c r="Q143" s="77">
        <f t="shared" si="31"/>
        <v>5828576.3519365955</v>
      </c>
      <c r="R143" s="19">
        <f t="shared" si="27"/>
        <v>5828576.3519365955</v>
      </c>
      <c r="S143" s="77">
        <f t="shared" si="28"/>
        <v>210832591.92545694</v>
      </c>
      <c r="T143" s="19">
        <f t="shared" si="32"/>
        <v>5828576.3519365955</v>
      </c>
    </row>
    <row r="144" spans="12:20" x14ac:dyDescent="0.3">
      <c r="L144" s="19">
        <v>141</v>
      </c>
      <c r="M144" s="76">
        <f t="shared" si="25"/>
        <v>48488</v>
      </c>
      <c r="N144" s="77">
        <f t="shared" si="29"/>
        <v>4774413.3923093108</v>
      </c>
      <c r="O144" s="77">
        <f t="shared" si="30"/>
        <v>1054162.9596272847</v>
      </c>
      <c r="P144" s="24">
        <f t="shared" si="26"/>
        <v>1054162.9596272847</v>
      </c>
      <c r="Q144" s="77">
        <f t="shared" si="31"/>
        <v>5828576.3519365955</v>
      </c>
      <c r="R144" s="19">
        <f t="shared" si="27"/>
        <v>5828576.3519365955</v>
      </c>
      <c r="S144" s="77">
        <f t="shared" si="28"/>
        <v>206058178.53314763</v>
      </c>
      <c r="T144" s="19">
        <f t="shared" si="32"/>
        <v>5828576.3519365955</v>
      </c>
    </row>
    <row r="145" spans="12:20" x14ac:dyDescent="0.3">
      <c r="L145" s="20">
        <v>142</v>
      </c>
      <c r="M145" s="76">
        <f t="shared" si="25"/>
        <v>48519</v>
      </c>
      <c r="N145" s="77">
        <f t="shared" si="29"/>
        <v>4798285.4592708573</v>
      </c>
      <c r="O145" s="77">
        <f t="shared" si="30"/>
        <v>1030290.8926657381</v>
      </c>
      <c r="P145" s="24">
        <f t="shared" si="26"/>
        <v>1030290.8926657381</v>
      </c>
      <c r="Q145" s="77">
        <f t="shared" si="31"/>
        <v>5828576.3519365955</v>
      </c>
      <c r="R145" s="19">
        <f t="shared" si="27"/>
        <v>5828576.3519365955</v>
      </c>
      <c r="S145" s="77">
        <f t="shared" si="28"/>
        <v>201259893.07387677</v>
      </c>
      <c r="T145" s="19">
        <f t="shared" si="32"/>
        <v>5828576.3519365955</v>
      </c>
    </row>
    <row r="146" spans="12:20" x14ac:dyDescent="0.3">
      <c r="L146" s="19">
        <v>143</v>
      </c>
      <c r="M146" s="76">
        <f t="shared" si="25"/>
        <v>48549</v>
      </c>
      <c r="N146" s="77">
        <f t="shared" si="29"/>
        <v>4822276.8865672117</v>
      </c>
      <c r="O146" s="77">
        <f t="shared" si="30"/>
        <v>1006299.4653693838</v>
      </c>
      <c r="P146" s="24">
        <f t="shared" si="26"/>
        <v>1006299.4653693838</v>
      </c>
      <c r="Q146" s="77">
        <f t="shared" si="31"/>
        <v>5828576.3519365955</v>
      </c>
      <c r="R146" s="19">
        <f t="shared" si="27"/>
        <v>5828576.3519365955</v>
      </c>
      <c r="S146" s="77">
        <f t="shared" si="28"/>
        <v>196437616.18730956</v>
      </c>
      <c r="T146" s="19">
        <f t="shared" si="32"/>
        <v>5828576.3519365955</v>
      </c>
    </row>
    <row r="147" spans="12:20" x14ac:dyDescent="0.3">
      <c r="L147" s="20">
        <v>144</v>
      </c>
      <c r="M147" s="76">
        <f t="shared" si="25"/>
        <v>48580</v>
      </c>
      <c r="N147" s="77">
        <f t="shared" si="29"/>
        <v>4846388.2710000481</v>
      </c>
      <c r="O147" s="77">
        <f t="shared" si="30"/>
        <v>982188.08093654783</v>
      </c>
      <c r="P147" s="24">
        <f t="shared" si="26"/>
        <v>982188.08093654783</v>
      </c>
      <c r="Q147" s="77">
        <f t="shared" si="31"/>
        <v>5828576.3519365955</v>
      </c>
      <c r="R147" s="19">
        <f t="shared" si="27"/>
        <v>5828576.3519365955</v>
      </c>
      <c r="S147" s="77">
        <f t="shared" si="28"/>
        <v>191591227.91630951</v>
      </c>
      <c r="T147" s="19">
        <f t="shared" si="32"/>
        <v>5828576.3519365955</v>
      </c>
    </row>
    <row r="148" spans="12:20" x14ac:dyDescent="0.3">
      <c r="L148" s="19">
        <v>145</v>
      </c>
      <c r="M148" s="76">
        <f t="shared" si="25"/>
        <v>48611</v>
      </c>
      <c r="N148" s="77">
        <f t="shared" si="29"/>
        <v>4870620.2123550484</v>
      </c>
      <c r="O148" s="77">
        <f t="shared" si="30"/>
        <v>957956.13958154747</v>
      </c>
      <c r="P148" s="24">
        <f t="shared" si="26"/>
        <v>957956.13958154747</v>
      </c>
      <c r="Q148" s="77">
        <f t="shared" si="31"/>
        <v>5828576.3519365955</v>
      </c>
      <c r="R148" s="19">
        <f t="shared" si="27"/>
        <v>5828576.3519365955</v>
      </c>
      <c r="S148" s="77">
        <f t="shared" si="28"/>
        <v>186720607.70395446</v>
      </c>
      <c r="T148" s="19">
        <f t="shared" si="32"/>
        <v>5828576.3519365955</v>
      </c>
    </row>
    <row r="149" spans="12:20" x14ac:dyDescent="0.3">
      <c r="L149" s="20">
        <v>146</v>
      </c>
      <c r="M149" s="76">
        <f t="shared" si="25"/>
        <v>48639</v>
      </c>
      <c r="N149" s="77">
        <f t="shared" si="29"/>
        <v>4894973.3134168237</v>
      </c>
      <c r="O149" s="77">
        <f t="shared" si="30"/>
        <v>933603.03851977224</v>
      </c>
      <c r="P149" s="24">
        <f t="shared" si="26"/>
        <v>933603.03851977224</v>
      </c>
      <c r="Q149" s="77">
        <f t="shared" si="31"/>
        <v>5828576.3519365955</v>
      </c>
      <c r="R149" s="19">
        <f t="shared" si="27"/>
        <v>5828576.3519365955</v>
      </c>
      <c r="S149" s="77">
        <f t="shared" si="28"/>
        <v>181825634.39053762</v>
      </c>
      <c r="T149" s="19">
        <f t="shared" si="32"/>
        <v>5828576.3519365955</v>
      </c>
    </row>
    <row r="150" spans="12:20" x14ac:dyDescent="0.3">
      <c r="L150" s="19">
        <v>147</v>
      </c>
      <c r="M150" s="76">
        <f t="shared" si="25"/>
        <v>48670</v>
      </c>
      <c r="N150" s="77">
        <f t="shared" si="29"/>
        <v>4919448.1799839074</v>
      </c>
      <c r="O150" s="77">
        <f t="shared" si="30"/>
        <v>909128.17195268814</v>
      </c>
      <c r="P150" s="24">
        <f t="shared" si="26"/>
        <v>909128.17195268814</v>
      </c>
      <c r="Q150" s="77">
        <f t="shared" si="31"/>
        <v>5828576.3519365955</v>
      </c>
      <c r="R150" s="19">
        <f t="shared" si="27"/>
        <v>5828576.3519365955</v>
      </c>
      <c r="S150" s="77">
        <f t="shared" si="28"/>
        <v>176906186.21055371</v>
      </c>
      <c r="T150" s="19">
        <f t="shared" si="32"/>
        <v>5828576.3519365955</v>
      </c>
    </row>
    <row r="151" spans="12:20" x14ac:dyDescent="0.3">
      <c r="L151" s="20">
        <v>148</v>
      </c>
      <c r="M151" s="76">
        <f t="shared" si="25"/>
        <v>48700</v>
      </c>
      <c r="N151" s="77">
        <f t="shared" si="29"/>
        <v>4944045.4208838269</v>
      </c>
      <c r="O151" s="77">
        <f t="shared" si="30"/>
        <v>884530.93105276849</v>
      </c>
      <c r="P151" s="24">
        <f t="shared" si="26"/>
        <v>884530.93105276849</v>
      </c>
      <c r="Q151" s="77">
        <f t="shared" si="31"/>
        <v>5828576.3519365955</v>
      </c>
      <c r="R151" s="19">
        <f t="shared" si="27"/>
        <v>5828576.3519365955</v>
      </c>
      <c r="S151" s="77">
        <f t="shared" si="28"/>
        <v>171962140.78966987</v>
      </c>
      <c r="T151" s="19">
        <f t="shared" si="32"/>
        <v>5828576.3519365955</v>
      </c>
    </row>
    <row r="152" spans="12:20" x14ac:dyDescent="0.3">
      <c r="L152" s="19">
        <v>149</v>
      </c>
      <c r="M152" s="76">
        <f t="shared" si="25"/>
        <v>48731</v>
      </c>
      <c r="N152" s="77">
        <f t="shared" si="29"/>
        <v>4968765.6479882458</v>
      </c>
      <c r="O152" s="77">
        <f t="shared" si="30"/>
        <v>859810.70394834934</v>
      </c>
      <c r="P152" s="24">
        <f t="shared" si="26"/>
        <v>859810.70394834934</v>
      </c>
      <c r="Q152" s="77">
        <f t="shared" si="31"/>
        <v>5828576.3519365955</v>
      </c>
      <c r="R152" s="19">
        <f t="shared" si="27"/>
        <v>5828576.3519365955</v>
      </c>
      <c r="S152" s="77">
        <f t="shared" si="28"/>
        <v>166993375.14168161</v>
      </c>
      <c r="T152" s="19">
        <f t="shared" si="32"/>
        <v>5828576.3519365955</v>
      </c>
    </row>
    <row r="153" spans="12:20" x14ac:dyDescent="0.3">
      <c r="L153" s="20">
        <v>150</v>
      </c>
      <c r="M153" s="76">
        <f t="shared" si="25"/>
        <v>48761</v>
      </c>
      <c r="N153" s="77">
        <f t="shared" si="29"/>
        <v>4993609.4762281878</v>
      </c>
      <c r="O153" s="77">
        <f t="shared" si="30"/>
        <v>834966.87570840807</v>
      </c>
      <c r="P153" s="24">
        <f t="shared" si="26"/>
        <v>834966.87570840807</v>
      </c>
      <c r="Q153" s="77">
        <f t="shared" si="31"/>
        <v>5828576.3519365955</v>
      </c>
      <c r="R153" s="19">
        <f t="shared" si="27"/>
        <v>5828576.3519365955</v>
      </c>
      <c r="S153" s="77">
        <f t="shared" si="28"/>
        <v>161999765.66545343</v>
      </c>
      <c r="T153" s="19">
        <f t="shared" si="32"/>
        <v>5828576.3519365955</v>
      </c>
    </row>
    <row r="154" spans="12:20" x14ac:dyDescent="0.3">
      <c r="L154" s="19">
        <v>151</v>
      </c>
      <c r="M154" s="76">
        <f t="shared" si="25"/>
        <v>48792</v>
      </c>
      <c r="N154" s="77">
        <f t="shared" si="29"/>
        <v>5018577.5236093281</v>
      </c>
      <c r="O154" s="77">
        <f t="shared" si="30"/>
        <v>809998.82832726708</v>
      </c>
      <c r="P154" s="24">
        <f t="shared" si="26"/>
        <v>809998.82832726708</v>
      </c>
      <c r="Q154" s="77">
        <f t="shared" si="31"/>
        <v>5828576.3519365955</v>
      </c>
      <c r="R154" s="19">
        <f t="shared" si="27"/>
        <v>5828576.3519365955</v>
      </c>
      <c r="S154" s="77">
        <f t="shared" si="28"/>
        <v>156981188.14184409</v>
      </c>
      <c r="T154" s="19">
        <f t="shared" si="32"/>
        <v>5828576.3519365955</v>
      </c>
    </row>
    <row r="155" spans="12:20" x14ac:dyDescent="0.3">
      <c r="L155" s="20">
        <v>152</v>
      </c>
      <c r="M155" s="76">
        <f t="shared" si="25"/>
        <v>48823</v>
      </c>
      <c r="N155" s="77">
        <f t="shared" si="29"/>
        <v>5043670.4112273753</v>
      </c>
      <c r="O155" s="77">
        <f t="shared" si="30"/>
        <v>784905.94070922036</v>
      </c>
      <c r="P155" s="24">
        <f t="shared" si="26"/>
        <v>784905.94070922036</v>
      </c>
      <c r="Q155" s="77">
        <f t="shared" si="31"/>
        <v>5828576.3519365955</v>
      </c>
      <c r="R155" s="19">
        <f t="shared" si="27"/>
        <v>5828576.3519365955</v>
      </c>
      <c r="S155" s="77">
        <f t="shared" si="28"/>
        <v>151937517.73061672</v>
      </c>
      <c r="T155" s="19">
        <f t="shared" si="32"/>
        <v>5828576.3519365955</v>
      </c>
    </row>
    <row r="156" spans="12:20" x14ac:dyDescent="0.3">
      <c r="L156" s="19">
        <v>153</v>
      </c>
      <c r="M156" s="76">
        <f t="shared" si="25"/>
        <v>48853</v>
      </c>
      <c r="N156" s="77">
        <f t="shared" si="29"/>
        <v>5068888.7632835116</v>
      </c>
      <c r="O156" s="77">
        <f t="shared" si="30"/>
        <v>759687.58865308354</v>
      </c>
      <c r="P156" s="24">
        <f t="shared" si="26"/>
        <v>759687.58865308354</v>
      </c>
      <c r="Q156" s="77">
        <f t="shared" si="31"/>
        <v>5828576.3519365955</v>
      </c>
      <c r="R156" s="19">
        <f t="shared" si="27"/>
        <v>5828576.3519365955</v>
      </c>
      <c r="S156" s="77">
        <f t="shared" si="28"/>
        <v>146868628.9673332</v>
      </c>
      <c r="T156" s="19">
        <f t="shared" si="32"/>
        <v>5828576.3519365955</v>
      </c>
    </row>
    <row r="157" spans="12:20" x14ac:dyDescent="0.3">
      <c r="L157" s="20">
        <v>154</v>
      </c>
      <c r="M157" s="76">
        <f t="shared" si="25"/>
        <v>48884</v>
      </c>
      <c r="N157" s="77">
        <f t="shared" si="29"/>
        <v>5094233.2070999295</v>
      </c>
      <c r="O157" s="77">
        <f t="shared" si="30"/>
        <v>734343.14483666595</v>
      </c>
      <c r="P157" s="24">
        <f t="shared" si="26"/>
        <v>734343.14483666595</v>
      </c>
      <c r="Q157" s="77">
        <f t="shared" si="31"/>
        <v>5828576.3519365955</v>
      </c>
      <c r="R157" s="19">
        <f t="shared" si="27"/>
        <v>5828576.3519365955</v>
      </c>
      <c r="S157" s="77">
        <f t="shared" si="28"/>
        <v>141774395.76023328</v>
      </c>
      <c r="T157" s="19">
        <f t="shared" si="32"/>
        <v>5828576.3519365955</v>
      </c>
    </row>
    <row r="158" spans="12:20" x14ac:dyDescent="0.3">
      <c r="L158" s="19">
        <v>155</v>
      </c>
      <c r="M158" s="76">
        <f t="shared" si="25"/>
        <v>48914</v>
      </c>
      <c r="N158" s="77">
        <f t="shared" si="29"/>
        <v>5119704.3731354289</v>
      </c>
      <c r="O158" s="77">
        <f t="shared" si="30"/>
        <v>708871.97880116629</v>
      </c>
      <c r="P158" s="24">
        <f t="shared" si="26"/>
        <v>708871.97880116629</v>
      </c>
      <c r="Q158" s="77">
        <f t="shared" si="31"/>
        <v>5828576.3519365955</v>
      </c>
      <c r="R158" s="19">
        <f t="shared" si="27"/>
        <v>5828576.3519365955</v>
      </c>
      <c r="S158" s="77">
        <f t="shared" si="28"/>
        <v>136654691.38709787</v>
      </c>
      <c r="T158" s="19">
        <f t="shared" si="32"/>
        <v>5828576.3519365955</v>
      </c>
    </row>
    <row r="159" spans="12:20" x14ac:dyDescent="0.3">
      <c r="L159" s="20">
        <v>156</v>
      </c>
      <c r="M159" s="76">
        <f t="shared" si="25"/>
        <v>48945</v>
      </c>
      <c r="N159" s="77">
        <f t="shared" si="29"/>
        <v>5145302.895001106</v>
      </c>
      <c r="O159" s="77">
        <f t="shared" si="30"/>
        <v>683273.45693548932</v>
      </c>
      <c r="P159" s="24">
        <f t="shared" si="26"/>
        <v>683273.45693548932</v>
      </c>
      <c r="Q159" s="77">
        <f t="shared" si="31"/>
        <v>5828576.3519365955</v>
      </c>
      <c r="R159" s="19">
        <f t="shared" si="27"/>
        <v>5828576.3519365955</v>
      </c>
      <c r="S159" s="77">
        <f t="shared" si="28"/>
        <v>131509388.49209675</v>
      </c>
      <c r="T159" s="19">
        <f t="shared" si="32"/>
        <v>5828576.3519365955</v>
      </c>
    </row>
    <row r="160" spans="12:20" x14ac:dyDescent="0.3">
      <c r="L160" s="19">
        <v>157</v>
      </c>
      <c r="M160" s="76">
        <f t="shared" si="25"/>
        <v>48976</v>
      </c>
      <c r="N160" s="77">
        <f t="shared" si="29"/>
        <v>5171029.4094761116</v>
      </c>
      <c r="O160" s="77">
        <f t="shared" si="30"/>
        <v>657546.94246048375</v>
      </c>
      <c r="P160" s="24">
        <f t="shared" si="26"/>
        <v>657546.94246048375</v>
      </c>
      <c r="Q160" s="77">
        <f t="shared" si="31"/>
        <v>5828576.3519365955</v>
      </c>
      <c r="R160" s="19">
        <f t="shared" si="27"/>
        <v>5828576.3519365955</v>
      </c>
      <c r="S160" s="77">
        <f t="shared" si="28"/>
        <v>126338359.08262064</v>
      </c>
      <c r="T160" s="19">
        <f t="shared" si="32"/>
        <v>5828576.3519365955</v>
      </c>
    </row>
    <row r="161" spans="12:20" x14ac:dyDescent="0.3">
      <c r="L161" s="20">
        <v>158</v>
      </c>
      <c r="M161" s="76">
        <f t="shared" si="25"/>
        <v>49004</v>
      </c>
      <c r="N161" s="77">
        <f t="shared" si="29"/>
        <v>5196884.5565234926</v>
      </c>
      <c r="O161" s="77">
        <f t="shared" si="30"/>
        <v>631691.79541310319</v>
      </c>
      <c r="P161" s="24">
        <f t="shared" si="26"/>
        <v>631691.79541310319</v>
      </c>
      <c r="Q161" s="77">
        <f t="shared" si="31"/>
        <v>5828576.3519365955</v>
      </c>
      <c r="R161" s="19">
        <f t="shared" si="27"/>
        <v>5828576.3519365955</v>
      </c>
      <c r="S161" s="77">
        <f t="shared" si="28"/>
        <v>121141474.52609715</v>
      </c>
      <c r="T161" s="19">
        <f t="shared" si="32"/>
        <v>5828576.3519365955</v>
      </c>
    </row>
    <row r="162" spans="12:20" x14ac:dyDescent="0.3">
      <c r="L162" s="19">
        <v>159</v>
      </c>
      <c r="M162" s="76">
        <f t="shared" si="25"/>
        <v>49035</v>
      </c>
      <c r="N162" s="77">
        <f t="shared" si="29"/>
        <v>5222868.9793061102</v>
      </c>
      <c r="O162" s="77">
        <f t="shared" si="30"/>
        <v>605707.37263048568</v>
      </c>
      <c r="P162" s="24">
        <f t="shared" si="26"/>
        <v>605707.37263048568</v>
      </c>
      <c r="Q162" s="77">
        <f t="shared" si="31"/>
        <v>5828576.3519365955</v>
      </c>
      <c r="R162" s="19">
        <f t="shared" si="27"/>
        <v>5828576.3519365955</v>
      </c>
      <c r="S162" s="77">
        <f t="shared" si="28"/>
        <v>115918605.54679103</v>
      </c>
      <c r="T162" s="19">
        <f t="shared" si="32"/>
        <v>5828576.3519365955</v>
      </c>
    </row>
    <row r="163" spans="12:20" x14ac:dyDescent="0.3">
      <c r="L163" s="20">
        <v>160</v>
      </c>
      <c r="M163" s="76">
        <f t="shared" si="25"/>
        <v>49065</v>
      </c>
      <c r="N163" s="77">
        <f t="shared" si="29"/>
        <v>5248983.32420264</v>
      </c>
      <c r="O163" s="77">
        <f t="shared" si="30"/>
        <v>579593.02773395518</v>
      </c>
      <c r="P163" s="24">
        <f t="shared" si="26"/>
        <v>579593.02773395518</v>
      </c>
      <c r="Q163" s="77">
        <f t="shared" si="31"/>
        <v>5828576.3519365955</v>
      </c>
      <c r="R163" s="19">
        <f t="shared" si="27"/>
        <v>5828576.3519365955</v>
      </c>
      <c r="S163" s="77">
        <f t="shared" si="28"/>
        <v>110669622.22258839</v>
      </c>
      <c r="T163" s="19">
        <f t="shared" si="32"/>
        <v>5828576.3519365955</v>
      </c>
    </row>
    <row r="164" spans="12:20" x14ac:dyDescent="0.3">
      <c r="L164" s="19">
        <v>161</v>
      </c>
      <c r="M164" s="76">
        <f t="shared" si="25"/>
        <v>49096</v>
      </c>
      <c r="N164" s="77">
        <f t="shared" si="29"/>
        <v>5275228.2408236535</v>
      </c>
      <c r="O164" s="77">
        <f t="shared" si="30"/>
        <v>553348.11111294187</v>
      </c>
      <c r="P164" s="24">
        <f t="shared" si="26"/>
        <v>553348.11111294187</v>
      </c>
      <c r="Q164" s="77">
        <f t="shared" si="31"/>
        <v>5828576.3519365955</v>
      </c>
      <c r="R164" s="19">
        <f t="shared" si="27"/>
        <v>5828576.3519365955</v>
      </c>
      <c r="S164" s="77">
        <f t="shared" si="28"/>
        <v>105394393.98176473</v>
      </c>
      <c r="T164" s="19">
        <f t="shared" si="32"/>
        <v>5828576.3519365955</v>
      </c>
    </row>
    <row r="165" spans="12:20" x14ac:dyDescent="0.3">
      <c r="L165" s="20">
        <v>162</v>
      </c>
      <c r="M165" s="76">
        <f t="shared" si="25"/>
        <v>49126</v>
      </c>
      <c r="N165" s="77">
        <f t="shared" si="29"/>
        <v>5301604.3820277723</v>
      </c>
      <c r="O165" s="77">
        <f t="shared" si="30"/>
        <v>526971.96990882361</v>
      </c>
      <c r="P165" s="24">
        <f t="shared" si="26"/>
        <v>526971.96990882361</v>
      </c>
      <c r="Q165" s="77">
        <f t="shared" si="31"/>
        <v>5828576.3519365955</v>
      </c>
      <c r="R165" s="19">
        <f t="shared" si="27"/>
        <v>5828576.3519365955</v>
      </c>
      <c r="S165" s="77">
        <f t="shared" si="28"/>
        <v>100092789.59973696</v>
      </c>
      <c r="T165" s="19">
        <f t="shared" si="32"/>
        <v>5828576.3519365955</v>
      </c>
    </row>
    <row r="166" spans="12:20" x14ac:dyDescent="0.3">
      <c r="L166" s="19">
        <v>163</v>
      </c>
      <c r="M166" s="76">
        <f t="shared" si="25"/>
        <v>49157</v>
      </c>
      <c r="N166" s="77">
        <f t="shared" si="29"/>
        <v>5328112.4039379107</v>
      </c>
      <c r="O166" s="77">
        <f t="shared" si="30"/>
        <v>500463.94799868477</v>
      </c>
      <c r="P166" s="24">
        <f t="shared" si="26"/>
        <v>500463.94799868477</v>
      </c>
      <c r="Q166" s="77">
        <f t="shared" si="31"/>
        <v>5828576.3519365955</v>
      </c>
      <c r="R166" s="19">
        <f t="shared" si="27"/>
        <v>5828576.3519365955</v>
      </c>
      <c r="S166" s="77">
        <f t="shared" si="28"/>
        <v>94764677.195799053</v>
      </c>
      <c r="T166" s="19">
        <f t="shared" si="32"/>
        <v>5828576.3519365955</v>
      </c>
    </row>
    <row r="167" spans="12:20" x14ac:dyDescent="0.3">
      <c r="L167" s="20">
        <v>164</v>
      </c>
      <c r="M167" s="76">
        <f t="shared" si="25"/>
        <v>49188</v>
      </c>
      <c r="N167" s="77">
        <f t="shared" si="29"/>
        <v>5354752.9659576006</v>
      </c>
      <c r="O167" s="77">
        <f t="shared" si="30"/>
        <v>473823.3859789953</v>
      </c>
      <c r="P167" s="24">
        <f t="shared" si="26"/>
        <v>473823.3859789953</v>
      </c>
      <c r="Q167" s="77">
        <f t="shared" si="31"/>
        <v>5828576.3519365955</v>
      </c>
      <c r="R167" s="19">
        <f t="shared" si="27"/>
        <v>5828576.3519365955</v>
      </c>
      <c r="S167" s="77">
        <f t="shared" si="28"/>
        <v>89409924.229841456</v>
      </c>
      <c r="T167" s="19">
        <f t="shared" si="32"/>
        <v>5828576.3519365955</v>
      </c>
    </row>
    <row r="168" spans="12:20" x14ac:dyDescent="0.3">
      <c r="L168" s="19">
        <v>165</v>
      </c>
      <c r="M168" s="76">
        <f t="shared" si="25"/>
        <v>49218</v>
      </c>
      <c r="N168" s="77">
        <f t="shared" si="29"/>
        <v>5381526.730787388</v>
      </c>
      <c r="O168" s="77">
        <f t="shared" si="30"/>
        <v>447049.62114920723</v>
      </c>
      <c r="P168" s="24">
        <f t="shared" si="26"/>
        <v>447049.62114920723</v>
      </c>
      <c r="Q168" s="77">
        <f t="shared" si="31"/>
        <v>5828576.3519365955</v>
      </c>
      <c r="R168" s="19">
        <f t="shared" si="27"/>
        <v>5828576.3519365955</v>
      </c>
      <c r="S168" s="77">
        <f t="shared" si="28"/>
        <v>84028397.499054074</v>
      </c>
      <c r="T168" s="19">
        <f t="shared" si="32"/>
        <v>5828576.3519365955</v>
      </c>
    </row>
    <row r="169" spans="12:20" x14ac:dyDescent="0.3">
      <c r="L169" s="20">
        <v>166</v>
      </c>
      <c r="M169" s="76">
        <f t="shared" si="25"/>
        <v>49249</v>
      </c>
      <c r="N169" s="77">
        <f t="shared" si="29"/>
        <v>5408434.364441325</v>
      </c>
      <c r="O169" s="77">
        <f t="shared" si="30"/>
        <v>420141.98749527032</v>
      </c>
      <c r="P169" s="24">
        <f t="shared" si="26"/>
        <v>420141.98749527032</v>
      </c>
      <c r="Q169" s="77">
        <f t="shared" si="31"/>
        <v>5828576.3519365955</v>
      </c>
      <c r="R169" s="19">
        <f t="shared" si="27"/>
        <v>5828576.3519365955</v>
      </c>
      <c r="S169" s="77">
        <f t="shared" si="28"/>
        <v>78619963.134612754</v>
      </c>
      <c r="T169" s="19">
        <f t="shared" si="32"/>
        <v>5828576.3519365955</v>
      </c>
    </row>
    <row r="170" spans="12:20" x14ac:dyDescent="0.3">
      <c r="L170" s="19">
        <v>167</v>
      </c>
      <c r="M170" s="76">
        <f t="shared" si="25"/>
        <v>49279</v>
      </c>
      <c r="N170" s="77">
        <f t="shared" si="29"/>
        <v>5435476.536263532</v>
      </c>
      <c r="O170" s="77">
        <f t="shared" si="30"/>
        <v>393099.81567306374</v>
      </c>
      <c r="P170" s="24">
        <f t="shared" si="26"/>
        <v>393099.81567306374</v>
      </c>
      <c r="Q170" s="77">
        <f t="shared" si="31"/>
        <v>5828576.3519365955</v>
      </c>
      <c r="R170" s="19">
        <f t="shared" si="27"/>
        <v>5828576.3519365955</v>
      </c>
      <c r="S170" s="77">
        <f t="shared" si="28"/>
        <v>73184486.598349229</v>
      </c>
      <c r="T170" s="19">
        <f t="shared" si="32"/>
        <v>5828576.3519365955</v>
      </c>
    </row>
    <row r="171" spans="12:20" x14ac:dyDescent="0.3">
      <c r="L171" s="20">
        <v>168</v>
      </c>
      <c r="M171" s="76">
        <f t="shared" si="25"/>
        <v>49310</v>
      </c>
      <c r="N171" s="77">
        <f t="shared" si="29"/>
        <v>5462653.9189448496</v>
      </c>
      <c r="O171" s="77">
        <f t="shared" si="30"/>
        <v>365922.43299174611</v>
      </c>
      <c r="P171" s="24">
        <f t="shared" si="26"/>
        <v>365922.43299174611</v>
      </c>
      <c r="Q171" s="77">
        <f t="shared" si="31"/>
        <v>5828576.3519365955</v>
      </c>
      <c r="R171" s="19">
        <f t="shared" si="27"/>
        <v>5828576.3519365955</v>
      </c>
      <c r="S171" s="77">
        <f t="shared" si="28"/>
        <v>67721832.679404378</v>
      </c>
      <c r="T171" s="19">
        <f t="shared" si="32"/>
        <v>5828576.3519365955</v>
      </c>
    </row>
    <row r="172" spans="12:20" x14ac:dyDescent="0.3">
      <c r="L172" s="19">
        <v>169</v>
      </c>
      <c r="M172" s="76">
        <f t="shared" si="25"/>
        <v>49341</v>
      </c>
      <c r="N172" s="77">
        <f t="shared" si="29"/>
        <v>5489967.1885395739</v>
      </c>
      <c r="O172" s="77">
        <f t="shared" si="30"/>
        <v>338609.16339702188</v>
      </c>
      <c r="P172" s="24">
        <f t="shared" si="26"/>
        <v>338609.16339702188</v>
      </c>
      <c r="Q172" s="77">
        <f t="shared" si="31"/>
        <v>5828576.3519365955</v>
      </c>
      <c r="R172" s="19">
        <f t="shared" si="27"/>
        <v>5828576.3519365955</v>
      </c>
      <c r="S172" s="77">
        <f t="shared" si="28"/>
        <v>62231865.490864806</v>
      </c>
      <c r="T172" s="19">
        <f t="shared" si="32"/>
        <v>5828576.3519365955</v>
      </c>
    </row>
    <row r="173" spans="12:20" x14ac:dyDescent="0.3">
      <c r="L173" s="20">
        <v>170</v>
      </c>
      <c r="M173" s="76">
        <f t="shared" si="25"/>
        <v>49369</v>
      </c>
      <c r="N173" s="77">
        <f t="shared" si="29"/>
        <v>5517417.0244822716</v>
      </c>
      <c r="O173" s="77">
        <f t="shared" si="30"/>
        <v>311159.32745432405</v>
      </c>
      <c r="P173" s="24">
        <f t="shared" si="26"/>
        <v>311159.32745432405</v>
      </c>
      <c r="Q173" s="77">
        <f t="shared" si="31"/>
        <v>5828576.3519365955</v>
      </c>
      <c r="R173" s="19">
        <f t="shared" si="27"/>
        <v>5828576.3519365955</v>
      </c>
      <c r="S173" s="77">
        <f t="shared" si="28"/>
        <v>56714448.466382533</v>
      </c>
      <c r="T173" s="19">
        <f t="shared" si="32"/>
        <v>5828576.3519365955</v>
      </c>
    </row>
    <row r="174" spans="12:20" x14ac:dyDescent="0.3">
      <c r="L174" s="19">
        <v>171</v>
      </c>
      <c r="M174" s="76">
        <f t="shared" si="25"/>
        <v>49400</v>
      </c>
      <c r="N174" s="77">
        <f t="shared" si="29"/>
        <v>5545004.1096046828</v>
      </c>
      <c r="O174" s="77">
        <f t="shared" si="30"/>
        <v>283572.24233191268</v>
      </c>
      <c r="P174" s="24">
        <f t="shared" si="26"/>
        <v>283572.24233191268</v>
      </c>
      <c r="Q174" s="77">
        <f t="shared" si="31"/>
        <v>5828576.3519365955</v>
      </c>
      <c r="R174" s="19">
        <f t="shared" si="27"/>
        <v>5828576.3519365955</v>
      </c>
      <c r="S174" s="77">
        <f t="shared" si="28"/>
        <v>51169444.356777847</v>
      </c>
      <c r="T174" s="19">
        <f t="shared" si="32"/>
        <v>5828576.3519365955</v>
      </c>
    </row>
    <row r="175" spans="12:20" x14ac:dyDescent="0.3">
      <c r="L175" s="20">
        <v>172</v>
      </c>
      <c r="M175" s="76">
        <f t="shared" si="25"/>
        <v>49430</v>
      </c>
      <c r="N175" s="77">
        <f t="shared" si="29"/>
        <v>5572729.1301527061</v>
      </c>
      <c r="O175" s="77">
        <f t="shared" si="30"/>
        <v>255847.22178388922</v>
      </c>
      <c r="P175" s="24">
        <f t="shared" si="26"/>
        <v>255847.22178388922</v>
      </c>
      <c r="Q175" s="77">
        <f t="shared" si="31"/>
        <v>5828576.3519365955</v>
      </c>
      <c r="R175" s="19">
        <f t="shared" si="27"/>
        <v>5828576.3519365955</v>
      </c>
      <c r="S175" s="77">
        <f t="shared" si="28"/>
        <v>45596715.226625144</v>
      </c>
      <c r="T175" s="19">
        <f t="shared" si="32"/>
        <v>5828576.3519365955</v>
      </c>
    </row>
    <row r="176" spans="12:20" x14ac:dyDescent="0.3">
      <c r="L176" s="19">
        <v>173</v>
      </c>
      <c r="M176" s="76">
        <f t="shared" si="25"/>
        <v>49461</v>
      </c>
      <c r="N176" s="77">
        <f t="shared" si="29"/>
        <v>5600592.7758034701</v>
      </c>
      <c r="O176" s="77">
        <f t="shared" si="30"/>
        <v>227983.57613312572</v>
      </c>
      <c r="P176" s="24">
        <f t="shared" si="26"/>
        <v>227983.57613312572</v>
      </c>
      <c r="Q176" s="77">
        <f t="shared" si="31"/>
        <v>5828576.3519365955</v>
      </c>
      <c r="R176" s="19">
        <f t="shared" si="27"/>
        <v>5828576.3519365955</v>
      </c>
      <c r="S176" s="77">
        <f t="shared" si="28"/>
        <v>39996122.450821675</v>
      </c>
      <c r="T176" s="19">
        <f t="shared" si="32"/>
        <v>5828576.3519365955</v>
      </c>
    </row>
    <row r="177" spans="12:20" x14ac:dyDescent="0.3">
      <c r="L177" s="20">
        <v>174</v>
      </c>
      <c r="M177" s="76">
        <f t="shared" si="25"/>
        <v>49491</v>
      </c>
      <c r="N177" s="77">
        <f t="shared" si="29"/>
        <v>5628595.7396824872</v>
      </c>
      <c r="O177" s="77">
        <f t="shared" si="30"/>
        <v>199980.61225410839</v>
      </c>
      <c r="P177" s="24">
        <f t="shared" si="26"/>
        <v>199980.61225410839</v>
      </c>
      <c r="Q177" s="77">
        <f t="shared" si="31"/>
        <v>5828576.3519365955</v>
      </c>
      <c r="R177" s="19">
        <f t="shared" si="27"/>
        <v>5828576.3519365955</v>
      </c>
      <c r="S177" s="77">
        <f t="shared" si="28"/>
        <v>34367526.711139187</v>
      </c>
      <c r="T177" s="19">
        <f t="shared" si="32"/>
        <v>5828576.3519365955</v>
      </c>
    </row>
    <row r="178" spans="12:20" x14ac:dyDescent="0.3">
      <c r="L178" s="19">
        <v>175</v>
      </c>
      <c r="M178" s="76">
        <f t="shared" si="25"/>
        <v>49522</v>
      </c>
      <c r="N178" s="77">
        <f t="shared" si="29"/>
        <v>5656738.7183808992</v>
      </c>
      <c r="O178" s="77">
        <f t="shared" si="30"/>
        <v>171837.63355569594</v>
      </c>
      <c r="P178" s="24">
        <f t="shared" si="26"/>
        <v>171837.63355569594</v>
      </c>
      <c r="Q178" s="77">
        <f t="shared" si="31"/>
        <v>5828576.3519365955</v>
      </c>
      <c r="R178" s="19">
        <f t="shared" si="27"/>
        <v>5828576.3519365955</v>
      </c>
      <c r="S178" s="77">
        <f t="shared" si="28"/>
        <v>28710787.992758289</v>
      </c>
      <c r="T178" s="19">
        <f t="shared" si="32"/>
        <v>5828576.3519365955</v>
      </c>
    </row>
    <row r="179" spans="12:20" x14ac:dyDescent="0.3">
      <c r="L179" s="20">
        <v>176</v>
      </c>
      <c r="M179" s="76">
        <f t="shared" si="25"/>
        <v>49553</v>
      </c>
      <c r="N179" s="77">
        <f t="shared" si="29"/>
        <v>5685022.411972804</v>
      </c>
      <c r="O179" s="77">
        <f t="shared" si="30"/>
        <v>143553.93996379143</v>
      </c>
      <c r="P179" s="24">
        <f t="shared" si="26"/>
        <v>143553.93996379143</v>
      </c>
      <c r="Q179" s="77">
        <f t="shared" si="31"/>
        <v>5828576.3519365955</v>
      </c>
      <c r="R179" s="19">
        <f t="shared" si="27"/>
        <v>5828576.3519365955</v>
      </c>
      <c r="S179" s="77">
        <f t="shared" si="28"/>
        <v>23025765.580785483</v>
      </c>
      <c r="T179" s="19">
        <f t="shared" si="32"/>
        <v>5828576.3519365955</v>
      </c>
    </row>
    <row r="180" spans="12:20" x14ac:dyDescent="0.3">
      <c r="L180" s="19">
        <v>177</v>
      </c>
      <c r="M180" s="76">
        <f t="shared" si="25"/>
        <v>49583</v>
      </c>
      <c r="N180" s="77">
        <f t="shared" si="29"/>
        <v>5713447.5240326682</v>
      </c>
      <c r="O180" s="77">
        <f t="shared" si="30"/>
        <v>115128.82790392742</v>
      </c>
      <c r="P180" s="24">
        <f t="shared" si="26"/>
        <v>115128.82790392742</v>
      </c>
      <c r="Q180" s="77">
        <f t="shared" si="31"/>
        <v>5828576.3519365955</v>
      </c>
      <c r="R180" s="19">
        <f t="shared" si="27"/>
        <v>5828576.3519365955</v>
      </c>
      <c r="S180" s="77">
        <f t="shared" si="28"/>
        <v>17312318.056752816</v>
      </c>
      <c r="T180" s="19">
        <f t="shared" si="32"/>
        <v>5828576.3519365955</v>
      </c>
    </row>
    <row r="181" spans="12:20" x14ac:dyDescent="0.3">
      <c r="L181" s="20">
        <v>178</v>
      </c>
      <c r="M181" s="76">
        <f t="shared" si="25"/>
        <v>49614</v>
      </c>
      <c r="N181" s="77">
        <f t="shared" si="29"/>
        <v>5742014.761652831</v>
      </c>
      <c r="O181" s="77">
        <f t="shared" si="30"/>
        <v>86561.590283764075</v>
      </c>
      <c r="P181" s="24">
        <f t="shared" si="26"/>
        <v>86561.590283764075</v>
      </c>
      <c r="Q181" s="77">
        <f t="shared" si="31"/>
        <v>5828576.3519365955</v>
      </c>
      <c r="R181" s="19">
        <f t="shared" si="27"/>
        <v>5828576.3519365955</v>
      </c>
      <c r="S181" s="77">
        <f t="shared" si="28"/>
        <v>11570303.295099985</v>
      </c>
      <c r="T181" s="19">
        <f t="shared" si="32"/>
        <v>5828576.3519365955</v>
      </c>
    </row>
    <row r="182" spans="12:20" x14ac:dyDescent="0.3">
      <c r="L182" s="19">
        <v>179</v>
      </c>
      <c r="M182" s="76">
        <f t="shared" si="25"/>
        <v>49644</v>
      </c>
      <c r="N182" s="77">
        <f t="shared" si="29"/>
        <v>5770724.8354610959</v>
      </c>
      <c r="O182" s="77">
        <f t="shared" si="30"/>
        <v>57851.51647549992</v>
      </c>
      <c r="P182" s="24">
        <f t="shared" si="26"/>
        <v>57851.51647549992</v>
      </c>
      <c r="Q182" s="77">
        <f t="shared" si="31"/>
        <v>5828576.3519365955</v>
      </c>
      <c r="R182" s="19">
        <f t="shared" si="27"/>
        <v>5828576.3519365955</v>
      </c>
      <c r="S182" s="77">
        <f t="shared" si="28"/>
        <v>5799578.4596388889</v>
      </c>
      <c r="T182" s="19">
        <f t="shared" si="32"/>
        <v>5828576.3519365955</v>
      </c>
    </row>
    <row r="183" spans="12:20" x14ac:dyDescent="0.3">
      <c r="L183" s="20">
        <v>180</v>
      </c>
      <c r="M183" s="76">
        <f t="shared" si="25"/>
        <v>49675</v>
      </c>
      <c r="N183" s="77">
        <f t="shared" si="29"/>
        <v>5799578.4596384009</v>
      </c>
      <c r="O183" s="77">
        <f t="shared" si="30"/>
        <v>28997.892298194445</v>
      </c>
      <c r="P183" s="24">
        <f t="shared" si="26"/>
        <v>28997.892298194445</v>
      </c>
      <c r="Q183" s="77">
        <f t="shared" si="31"/>
        <v>5828576.3519365955</v>
      </c>
      <c r="R183" s="19">
        <f t="shared" si="27"/>
        <v>5828576.3519365955</v>
      </c>
      <c r="S183" s="77">
        <f t="shared" si="28"/>
        <v>4.8801302909851074E-7</v>
      </c>
      <c r="T183" s="19">
        <f t="shared" si="32"/>
        <v>5828576.3519365955</v>
      </c>
    </row>
    <row r="184" spans="12:20" x14ac:dyDescent="0.3">
      <c r="L184" s="19">
        <v>181</v>
      </c>
      <c r="M184" s="76">
        <f t="shared" si="25"/>
        <v>49706</v>
      </c>
      <c r="N184" s="77">
        <f t="shared" si="29"/>
        <v>0</v>
      </c>
      <c r="O184" s="77">
        <f t="shared" si="30"/>
        <v>2.4400651454925534E-9</v>
      </c>
      <c r="P184" s="24">
        <f t="shared" si="26"/>
        <v>2.4400651454925534E-9</v>
      </c>
      <c r="Q184" s="77">
        <f t="shared" si="31"/>
        <v>0</v>
      </c>
      <c r="R184" s="19">
        <f t="shared" si="27"/>
        <v>0</v>
      </c>
      <c r="S184" s="77">
        <f t="shared" si="28"/>
        <v>4.8801302909851074E-7</v>
      </c>
      <c r="T184" s="19">
        <f t="shared" si="32"/>
        <v>2.4400651454925534E-9</v>
      </c>
    </row>
    <row r="185" spans="12:20" x14ac:dyDescent="0.3">
      <c r="L185" s="20">
        <v>182</v>
      </c>
      <c r="M185" s="76">
        <f t="shared" si="25"/>
        <v>49735</v>
      </c>
      <c r="N185" s="77">
        <f t="shared" si="29"/>
        <v>0</v>
      </c>
      <c r="O185" s="77">
        <f t="shared" si="30"/>
        <v>2.4400651454925534E-9</v>
      </c>
      <c r="P185" s="24">
        <f t="shared" si="26"/>
        <v>2.4400651454925534E-9</v>
      </c>
      <c r="Q185" s="77">
        <f t="shared" si="31"/>
        <v>0</v>
      </c>
      <c r="R185" s="19">
        <f t="shared" si="27"/>
        <v>0</v>
      </c>
      <c r="S185" s="77">
        <f t="shared" si="28"/>
        <v>4.8801302909851074E-7</v>
      </c>
      <c r="T185" s="19">
        <f t="shared" si="32"/>
        <v>2.4400651454925534E-9</v>
      </c>
    </row>
    <row r="186" spans="12:20" x14ac:dyDescent="0.3">
      <c r="L186" s="19">
        <v>183</v>
      </c>
      <c r="M186" s="76">
        <f t="shared" si="25"/>
        <v>49766</v>
      </c>
      <c r="N186" s="77">
        <f t="shared" si="29"/>
        <v>0</v>
      </c>
      <c r="O186" s="77">
        <f t="shared" si="30"/>
        <v>2.4400651454925534E-9</v>
      </c>
      <c r="P186" s="24">
        <f t="shared" si="26"/>
        <v>2.4400651454925534E-9</v>
      </c>
      <c r="Q186" s="77">
        <f t="shared" si="31"/>
        <v>0</v>
      </c>
      <c r="R186" s="19">
        <f t="shared" si="27"/>
        <v>0</v>
      </c>
      <c r="S186" s="77">
        <f t="shared" si="28"/>
        <v>4.8801302909851074E-7</v>
      </c>
      <c r="T186" s="19">
        <f t="shared" si="32"/>
        <v>2.4400651454925534E-9</v>
      </c>
    </row>
    <row r="187" spans="12:20" x14ac:dyDescent="0.3">
      <c r="L187" s="20">
        <v>184</v>
      </c>
      <c r="M187" s="76">
        <f t="shared" si="25"/>
        <v>49796</v>
      </c>
      <c r="N187" s="77">
        <f t="shared" si="29"/>
        <v>0</v>
      </c>
      <c r="O187" s="77">
        <f t="shared" si="30"/>
        <v>2.4400651454925534E-9</v>
      </c>
      <c r="P187" s="24">
        <f t="shared" si="26"/>
        <v>2.4400651454925534E-9</v>
      </c>
      <c r="Q187" s="77">
        <f t="shared" si="31"/>
        <v>0</v>
      </c>
      <c r="R187" s="19">
        <f t="shared" si="27"/>
        <v>0</v>
      </c>
      <c r="S187" s="77">
        <f t="shared" si="28"/>
        <v>4.8801302909851074E-7</v>
      </c>
      <c r="T187" s="19">
        <f t="shared" si="32"/>
        <v>2.4400651454925534E-9</v>
      </c>
    </row>
    <row r="188" spans="12:20" x14ac:dyDescent="0.3">
      <c r="L188" s="19">
        <v>185</v>
      </c>
      <c r="M188" s="76">
        <f t="shared" si="25"/>
        <v>49827</v>
      </c>
      <c r="N188" s="77">
        <f t="shared" si="29"/>
        <v>0</v>
      </c>
      <c r="O188" s="77">
        <f t="shared" si="30"/>
        <v>2.4400651454925534E-9</v>
      </c>
      <c r="P188" s="24">
        <f t="shared" si="26"/>
        <v>2.4400651454925534E-9</v>
      </c>
      <c r="Q188" s="77">
        <f t="shared" si="31"/>
        <v>0</v>
      </c>
      <c r="R188" s="19">
        <f t="shared" si="27"/>
        <v>0</v>
      </c>
      <c r="S188" s="77">
        <f t="shared" si="28"/>
        <v>4.8801302909851074E-7</v>
      </c>
      <c r="T188" s="19">
        <f t="shared" si="32"/>
        <v>2.4400651454925534E-9</v>
      </c>
    </row>
    <row r="189" spans="12:20" x14ac:dyDescent="0.3">
      <c r="L189" s="20">
        <v>186</v>
      </c>
      <c r="M189" s="76">
        <f t="shared" si="25"/>
        <v>49857</v>
      </c>
      <c r="N189" s="77">
        <f t="shared" si="29"/>
        <v>0</v>
      </c>
      <c r="O189" s="77">
        <f t="shared" si="30"/>
        <v>2.4400651454925534E-9</v>
      </c>
      <c r="P189" s="24">
        <f t="shared" si="26"/>
        <v>2.4400651454925534E-9</v>
      </c>
      <c r="Q189" s="77">
        <f t="shared" si="31"/>
        <v>0</v>
      </c>
      <c r="R189" s="19">
        <f t="shared" si="27"/>
        <v>0</v>
      </c>
      <c r="S189" s="77">
        <f t="shared" si="28"/>
        <v>4.8801302909851074E-7</v>
      </c>
      <c r="T189" s="19">
        <f t="shared" si="32"/>
        <v>2.4400651454925534E-9</v>
      </c>
    </row>
    <row r="190" spans="12:20" x14ac:dyDescent="0.3">
      <c r="L190" s="19">
        <v>187</v>
      </c>
      <c r="M190" s="76">
        <f t="shared" si="25"/>
        <v>49888</v>
      </c>
      <c r="N190" s="77">
        <f t="shared" si="29"/>
        <v>0</v>
      </c>
      <c r="O190" s="77">
        <f t="shared" si="30"/>
        <v>2.4400651454925534E-9</v>
      </c>
      <c r="P190" s="24">
        <f t="shared" si="26"/>
        <v>2.4400651454925534E-9</v>
      </c>
      <c r="Q190" s="77">
        <f t="shared" si="31"/>
        <v>0</v>
      </c>
      <c r="R190" s="19">
        <f t="shared" si="27"/>
        <v>0</v>
      </c>
      <c r="S190" s="77">
        <f t="shared" si="28"/>
        <v>4.8801302909851074E-7</v>
      </c>
      <c r="T190" s="19">
        <f t="shared" si="32"/>
        <v>2.4400651454925534E-9</v>
      </c>
    </row>
    <row r="191" spans="12:20" x14ac:dyDescent="0.3">
      <c r="L191" s="20">
        <v>188</v>
      </c>
      <c r="M191" s="76">
        <f t="shared" si="25"/>
        <v>49919</v>
      </c>
      <c r="N191" s="77">
        <f t="shared" si="29"/>
        <v>0</v>
      </c>
      <c r="O191" s="77">
        <f t="shared" si="30"/>
        <v>2.4400651454925534E-9</v>
      </c>
      <c r="P191" s="24">
        <f t="shared" si="26"/>
        <v>2.4400651454925534E-9</v>
      </c>
      <c r="Q191" s="77">
        <f t="shared" si="31"/>
        <v>0</v>
      </c>
      <c r="R191" s="19">
        <f t="shared" si="27"/>
        <v>0</v>
      </c>
      <c r="S191" s="77">
        <f t="shared" si="28"/>
        <v>4.8801302909851074E-7</v>
      </c>
      <c r="T191" s="19">
        <f t="shared" si="32"/>
        <v>2.4400651454925534E-9</v>
      </c>
    </row>
    <row r="192" spans="12:20" x14ac:dyDescent="0.3">
      <c r="L192" s="19">
        <v>189</v>
      </c>
      <c r="M192" s="76">
        <f t="shared" si="25"/>
        <v>49949</v>
      </c>
      <c r="N192" s="77">
        <f t="shared" si="29"/>
        <v>0</v>
      </c>
      <c r="O192" s="77">
        <f t="shared" si="30"/>
        <v>2.4400651454925534E-9</v>
      </c>
      <c r="P192" s="24">
        <f t="shared" si="26"/>
        <v>2.4400651454925534E-9</v>
      </c>
      <c r="Q192" s="77">
        <f t="shared" si="31"/>
        <v>0</v>
      </c>
      <c r="R192" s="19">
        <f t="shared" si="27"/>
        <v>0</v>
      </c>
      <c r="S192" s="77">
        <f t="shared" si="28"/>
        <v>4.8801302909851074E-7</v>
      </c>
      <c r="T192" s="19">
        <f t="shared" si="32"/>
        <v>2.4400651454925534E-9</v>
      </c>
    </row>
    <row r="193" spans="12:20" x14ac:dyDescent="0.3">
      <c r="L193" s="20">
        <v>190</v>
      </c>
      <c r="M193" s="76">
        <f t="shared" si="25"/>
        <v>49980</v>
      </c>
      <c r="N193" s="77">
        <f t="shared" si="29"/>
        <v>0</v>
      </c>
      <c r="O193" s="77">
        <f t="shared" si="30"/>
        <v>2.4400651454925534E-9</v>
      </c>
      <c r="P193" s="24">
        <f t="shared" si="26"/>
        <v>2.4400651454925534E-9</v>
      </c>
      <c r="Q193" s="77">
        <f t="shared" si="31"/>
        <v>0</v>
      </c>
      <c r="R193" s="19">
        <f t="shared" si="27"/>
        <v>0</v>
      </c>
      <c r="S193" s="77">
        <f t="shared" si="28"/>
        <v>4.8801302909851074E-7</v>
      </c>
      <c r="T193" s="19">
        <f t="shared" si="32"/>
        <v>2.4400651454925534E-9</v>
      </c>
    </row>
    <row r="194" spans="12:20" x14ac:dyDescent="0.3">
      <c r="L194" s="19">
        <v>191</v>
      </c>
      <c r="M194" s="76">
        <f t="shared" si="25"/>
        <v>50010</v>
      </c>
      <c r="N194" s="77">
        <f t="shared" si="29"/>
        <v>0</v>
      </c>
      <c r="O194" s="77">
        <f t="shared" si="30"/>
        <v>2.4400651454925534E-9</v>
      </c>
      <c r="P194" s="24">
        <f t="shared" si="26"/>
        <v>2.4400651454925534E-9</v>
      </c>
      <c r="Q194" s="77">
        <f t="shared" si="31"/>
        <v>0</v>
      </c>
      <c r="R194" s="19">
        <f t="shared" si="27"/>
        <v>0</v>
      </c>
      <c r="S194" s="77">
        <f t="shared" si="28"/>
        <v>4.8801302909851074E-7</v>
      </c>
      <c r="T194" s="19">
        <f t="shared" si="32"/>
        <v>2.4400651454925534E-9</v>
      </c>
    </row>
    <row r="195" spans="12:20" x14ac:dyDescent="0.3">
      <c r="L195" s="20">
        <v>192</v>
      </c>
      <c r="M195" s="76">
        <f t="shared" si="25"/>
        <v>50041</v>
      </c>
      <c r="N195" s="77">
        <f t="shared" si="29"/>
        <v>0</v>
      </c>
      <c r="O195" s="77">
        <f t="shared" si="30"/>
        <v>2.4400651454925534E-9</v>
      </c>
      <c r="P195" s="24">
        <f t="shared" si="26"/>
        <v>2.4400651454925534E-9</v>
      </c>
      <c r="Q195" s="77">
        <f t="shared" si="31"/>
        <v>0</v>
      </c>
      <c r="R195" s="19">
        <f t="shared" si="27"/>
        <v>0</v>
      </c>
      <c r="S195" s="77">
        <f t="shared" si="28"/>
        <v>4.8801302909851074E-7</v>
      </c>
      <c r="T195" s="19">
        <f t="shared" si="32"/>
        <v>2.4400651454925534E-9</v>
      </c>
    </row>
    <row r="196" spans="12:20" x14ac:dyDescent="0.3">
      <c r="L196" s="19">
        <v>193</v>
      </c>
      <c r="M196" s="76">
        <f t="shared" ref="M196:M243" si="33">EDATE($Y$13,L196)</f>
        <v>50072</v>
      </c>
      <c r="N196" s="77">
        <f t="shared" si="29"/>
        <v>0</v>
      </c>
      <c r="O196" s="77">
        <f t="shared" si="30"/>
        <v>2.4400651454925534E-9</v>
      </c>
      <c r="P196" s="24">
        <f t="shared" ref="P196:P243" si="34">IF(S196&gt;0,O196,IF(R196&gt;0,O196,0))</f>
        <v>2.4400651454925534E-9</v>
      </c>
      <c r="Q196" s="77">
        <f t="shared" si="31"/>
        <v>0</v>
      </c>
      <c r="R196" s="19">
        <f t="shared" si="27"/>
        <v>0</v>
      </c>
      <c r="S196" s="77">
        <f t="shared" si="28"/>
        <v>4.8801302909851074E-7</v>
      </c>
      <c r="T196" s="19">
        <f t="shared" si="32"/>
        <v>2.4400651454925534E-9</v>
      </c>
    </row>
    <row r="197" spans="12:20" x14ac:dyDescent="0.3">
      <c r="L197" s="20">
        <v>194</v>
      </c>
      <c r="M197" s="76">
        <f t="shared" si="33"/>
        <v>50100</v>
      </c>
      <c r="N197" s="77">
        <f t="shared" si="29"/>
        <v>0</v>
      </c>
      <c r="O197" s="77">
        <f t="shared" si="30"/>
        <v>2.4400651454925534E-9</v>
      </c>
      <c r="P197" s="24">
        <f t="shared" si="34"/>
        <v>2.4400651454925534E-9</v>
      </c>
      <c r="Q197" s="77">
        <f t="shared" si="31"/>
        <v>0</v>
      </c>
      <c r="R197" s="19">
        <f t="shared" ref="R197:R243" si="35">IF(L197&gt;$Y$12,0,(IF(L197&lt;=$V$17,0,$Y$14)))</f>
        <v>0</v>
      </c>
      <c r="S197" s="77">
        <f t="shared" ref="S197:S243" si="36">S196-N197</f>
        <v>4.8801302909851074E-7</v>
      </c>
      <c r="T197" s="19">
        <f t="shared" si="32"/>
        <v>2.4400651454925534E-9</v>
      </c>
    </row>
    <row r="198" spans="12:20" x14ac:dyDescent="0.3">
      <c r="L198" s="19">
        <v>195</v>
      </c>
      <c r="M198" s="76">
        <f t="shared" si="33"/>
        <v>50131</v>
      </c>
      <c r="N198" s="77">
        <f t="shared" ref="N198:N243" si="37">IF(L198&lt;=$V$17,0,(IF(L198&lt;=$Y$12,R198-O198,0)))</f>
        <v>0</v>
      </c>
      <c r="O198" s="77">
        <f t="shared" ref="O198:O243" si="38">S197*$V$15/12</f>
        <v>2.4400651454925534E-9</v>
      </c>
      <c r="P198" s="24">
        <f t="shared" si="34"/>
        <v>2.4400651454925534E-9</v>
      </c>
      <c r="Q198" s="77">
        <f t="shared" ref="Q198:Q243" si="39">IF(L198&gt;SUM($V$16:$V$17),0,SUM(N198,P198))</f>
        <v>0</v>
      </c>
      <c r="R198" s="19">
        <f t="shared" si="35"/>
        <v>0</v>
      </c>
      <c r="S198" s="77">
        <f t="shared" si="36"/>
        <v>4.8801302909851074E-7</v>
      </c>
      <c r="T198" s="19">
        <f t="shared" ref="T198:T243" si="40">N198+P198</f>
        <v>2.4400651454925534E-9</v>
      </c>
    </row>
    <row r="199" spans="12:20" x14ac:dyDescent="0.3">
      <c r="L199" s="20">
        <v>196</v>
      </c>
      <c r="M199" s="76">
        <f t="shared" si="33"/>
        <v>50161</v>
      </c>
      <c r="N199" s="77">
        <f t="shared" si="37"/>
        <v>0</v>
      </c>
      <c r="O199" s="77">
        <f t="shared" si="38"/>
        <v>2.4400651454925534E-9</v>
      </c>
      <c r="P199" s="24">
        <f t="shared" si="34"/>
        <v>2.4400651454925534E-9</v>
      </c>
      <c r="Q199" s="77">
        <f t="shared" si="39"/>
        <v>0</v>
      </c>
      <c r="R199" s="19">
        <f t="shared" si="35"/>
        <v>0</v>
      </c>
      <c r="S199" s="77">
        <f t="shared" si="36"/>
        <v>4.8801302909851074E-7</v>
      </c>
      <c r="T199" s="19">
        <f t="shared" si="40"/>
        <v>2.4400651454925534E-9</v>
      </c>
    </row>
    <row r="200" spans="12:20" x14ac:dyDescent="0.3">
      <c r="L200" s="19">
        <v>197</v>
      </c>
      <c r="M200" s="76">
        <f t="shared" si="33"/>
        <v>50192</v>
      </c>
      <c r="N200" s="77">
        <f t="shared" si="37"/>
        <v>0</v>
      </c>
      <c r="O200" s="77">
        <f t="shared" si="38"/>
        <v>2.4400651454925534E-9</v>
      </c>
      <c r="P200" s="24">
        <f t="shared" si="34"/>
        <v>2.4400651454925534E-9</v>
      </c>
      <c r="Q200" s="77">
        <f t="shared" si="39"/>
        <v>0</v>
      </c>
      <c r="R200" s="19">
        <f t="shared" si="35"/>
        <v>0</v>
      </c>
      <c r="S200" s="77">
        <f t="shared" si="36"/>
        <v>4.8801302909851074E-7</v>
      </c>
      <c r="T200" s="19">
        <f t="shared" si="40"/>
        <v>2.4400651454925534E-9</v>
      </c>
    </row>
    <row r="201" spans="12:20" x14ac:dyDescent="0.3">
      <c r="L201" s="20">
        <v>198</v>
      </c>
      <c r="M201" s="76">
        <f t="shared" si="33"/>
        <v>50222</v>
      </c>
      <c r="N201" s="77">
        <f t="shared" si="37"/>
        <v>0</v>
      </c>
      <c r="O201" s="77">
        <f t="shared" si="38"/>
        <v>2.4400651454925534E-9</v>
      </c>
      <c r="P201" s="24">
        <f t="shared" si="34"/>
        <v>2.4400651454925534E-9</v>
      </c>
      <c r="Q201" s="77">
        <f t="shared" si="39"/>
        <v>0</v>
      </c>
      <c r="R201" s="19">
        <f t="shared" si="35"/>
        <v>0</v>
      </c>
      <c r="S201" s="77">
        <f t="shared" si="36"/>
        <v>4.8801302909851074E-7</v>
      </c>
      <c r="T201" s="19">
        <f t="shared" si="40"/>
        <v>2.4400651454925534E-9</v>
      </c>
    </row>
    <row r="202" spans="12:20" x14ac:dyDescent="0.3">
      <c r="L202" s="19">
        <v>199</v>
      </c>
      <c r="M202" s="76">
        <f t="shared" si="33"/>
        <v>50253</v>
      </c>
      <c r="N202" s="77">
        <f t="shared" si="37"/>
        <v>0</v>
      </c>
      <c r="O202" s="77">
        <f t="shared" si="38"/>
        <v>2.4400651454925534E-9</v>
      </c>
      <c r="P202" s="24">
        <f t="shared" si="34"/>
        <v>2.4400651454925534E-9</v>
      </c>
      <c r="Q202" s="77">
        <f t="shared" si="39"/>
        <v>0</v>
      </c>
      <c r="R202" s="19">
        <f t="shared" si="35"/>
        <v>0</v>
      </c>
      <c r="S202" s="77">
        <f t="shared" si="36"/>
        <v>4.8801302909851074E-7</v>
      </c>
      <c r="T202" s="19">
        <f t="shared" si="40"/>
        <v>2.4400651454925534E-9</v>
      </c>
    </row>
    <row r="203" spans="12:20" x14ac:dyDescent="0.3">
      <c r="L203" s="20">
        <v>200</v>
      </c>
      <c r="M203" s="76">
        <f t="shared" si="33"/>
        <v>50284</v>
      </c>
      <c r="N203" s="77">
        <f t="shared" si="37"/>
        <v>0</v>
      </c>
      <c r="O203" s="77">
        <f t="shared" si="38"/>
        <v>2.4400651454925534E-9</v>
      </c>
      <c r="P203" s="24">
        <f t="shared" si="34"/>
        <v>2.4400651454925534E-9</v>
      </c>
      <c r="Q203" s="77">
        <f t="shared" si="39"/>
        <v>0</v>
      </c>
      <c r="R203" s="19">
        <f t="shared" si="35"/>
        <v>0</v>
      </c>
      <c r="S203" s="77">
        <f t="shared" si="36"/>
        <v>4.8801302909851074E-7</v>
      </c>
      <c r="T203" s="19">
        <f t="shared" si="40"/>
        <v>2.4400651454925534E-9</v>
      </c>
    </row>
    <row r="204" spans="12:20" x14ac:dyDescent="0.3">
      <c r="L204" s="19">
        <v>201</v>
      </c>
      <c r="M204" s="76">
        <f t="shared" si="33"/>
        <v>50314</v>
      </c>
      <c r="N204" s="77">
        <f t="shared" si="37"/>
        <v>0</v>
      </c>
      <c r="O204" s="77">
        <f t="shared" si="38"/>
        <v>2.4400651454925534E-9</v>
      </c>
      <c r="P204" s="24">
        <f t="shared" si="34"/>
        <v>2.4400651454925534E-9</v>
      </c>
      <c r="Q204" s="77">
        <f t="shared" si="39"/>
        <v>0</v>
      </c>
      <c r="R204" s="19">
        <f t="shared" si="35"/>
        <v>0</v>
      </c>
      <c r="S204" s="77">
        <f t="shared" si="36"/>
        <v>4.8801302909851074E-7</v>
      </c>
      <c r="T204" s="19">
        <f t="shared" si="40"/>
        <v>2.4400651454925534E-9</v>
      </c>
    </row>
    <row r="205" spans="12:20" x14ac:dyDescent="0.3">
      <c r="L205" s="20">
        <v>202</v>
      </c>
      <c r="M205" s="76">
        <f t="shared" si="33"/>
        <v>50345</v>
      </c>
      <c r="N205" s="77">
        <f t="shared" si="37"/>
        <v>0</v>
      </c>
      <c r="O205" s="77">
        <f t="shared" si="38"/>
        <v>2.4400651454925534E-9</v>
      </c>
      <c r="P205" s="24">
        <f t="shared" si="34"/>
        <v>2.4400651454925534E-9</v>
      </c>
      <c r="Q205" s="77">
        <f t="shared" si="39"/>
        <v>0</v>
      </c>
      <c r="R205" s="19">
        <f t="shared" si="35"/>
        <v>0</v>
      </c>
      <c r="S205" s="77">
        <f t="shared" si="36"/>
        <v>4.8801302909851074E-7</v>
      </c>
      <c r="T205" s="19">
        <f t="shared" si="40"/>
        <v>2.4400651454925534E-9</v>
      </c>
    </row>
    <row r="206" spans="12:20" x14ac:dyDescent="0.3">
      <c r="L206" s="19">
        <v>203</v>
      </c>
      <c r="M206" s="76">
        <f t="shared" si="33"/>
        <v>50375</v>
      </c>
      <c r="N206" s="77">
        <f t="shared" si="37"/>
        <v>0</v>
      </c>
      <c r="O206" s="77">
        <f t="shared" si="38"/>
        <v>2.4400651454925534E-9</v>
      </c>
      <c r="P206" s="24">
        <f t="shared" si="34"/>
        <v>2.4400651454925534E-9</v>
      </c>
      <c r="Q206" s="77">
        <f t="shared" si="39"/>
        <v>0</v>
      </c>
      <c r="R206" s="19">
        <f t="shared" si="35"/>
        <v>0</v>
      </c>
      <c r="S206" s="77">
        <f t="shared" si="36"/>
        <v>4.8801302909851074E-7</v>
      </c>
      <c r="T206" s="19">
        <f t="shared" si="40"/>
        <v>2.4400651454925534E-9</v>
      </c>
    </row>
    <row r="207" spans="12:20" x14ac:dyDescent="0.3">
      <c r="L207" s="20">
        <v>204</v>
      </c>
      <c r="M207" s="76">
        <f t="shared" si="33"/>
        <v>50406</v>
      </c>
      <c r="N207" s="77">
        <f t="shared" si="37"/>
        <v>0</v>
      </c>
      <c r="O207" s="77">
        <f t="shared" si="38"/>
        <v>2.4400651454925534E-9</v>
      </c>
      <c r="P207" s="24">
        <f t="shared" si="34"/>
        <v>2.4400651454925534E-9</v>
      </c>
      <c r="Q207" s="77">
        <f t="shared" si="39"/>
        <v>0</v>
      </c>
      <c r="R207" s="19">
        <f t="shared" si="35"/>
        <v>0</v>
      </c>
      <c r="S207" s="77">
        <f t="shared" si="36"/>
        <v>4.8801302909851074E-7</v>
      </c>
      <c r="T207" s="19">
        <f t="shared" si="40"/>
        <v>2.4400651454925534E-9</v>
      </c>
    </row>
    <row r="208" spans="12:20" x14ac:dyDescent="0.3">
      <c r="L208" s="19">
        <v>205</v>
      </c>
      <c r="M208" s="76">
        <f t="shared" si="33"/>
        <v>50437</v>
      </c>
      <c r="N208" s="77">
        <f t="shared" si="37"/>
        <v>0</v>
      </c>
      <c r="O208" s="77">
        <f t="shared" si="38"/>
        <v>2.4400651454925534E-9</v>
      </c>
      <c r="P208" s="24">
        <f t="shared" si="34"/>
        <v>2.4400651454925534E-9</v>
      </c>
      <c r="Q208" s="77">
        <f t="shared" si="39"/>
        <v>0</v>
      </c>
      <c r="R208" s="19">
        <f t="shared" si="35"/>
        <v>0</v>
      </c>
      <c r="S208" s="77">
        <f t="shared" si="36"/>
        <v>4.8801302909851074E-7</v>
      </c>
      <c r="T208" s="19">
        <f t="shared" si="40"/>
        <v>2.4400651454925534E-9</v>
      </c>
    </row>
    <row r="209" spans="12:20" x14ac:dyDescent="0.3">
      <c r="L209" s="20">
        <v>206</v>
      </c>
      <c r="M209" s="76">
        <f t="shared" si="33"/>
        <v>50465</v>
      </c>
      <c r="N209" s="77">
        <f t="shared" si="37"/>
        <v>0</v>
      </c>
      <c r="O209" s="77">
        <f t="shared" si="38"/>
        <v>2.4400651454925534E-9</v>
      </c>
      <c r="P209" s="24">
        <f t="shared" si="34"/>
        <v>2.4400651454925534E-9</v>
      </c>
      <c r="Q209" s="77">
        <f t="shared" si="39"/>
        <v>0</v>
      </c>
      <c r="R209" s="19">
        <f t="shared" si="35"/>
        <v>0</v>
      </c>
      <c r="S209" s="77">
        <f t="shared" si="36"/>
        <v>4.8801302909851074E-7</v>
      </c>
      <c r="T209" s="19">
        <f t="shared" si="40"/>
        <v>2.4400651454925534E-9</v>
      </c>
    </row>
    <row r="210" spans="12:20" x14ac:dyDescent="0.3">
      <c r="L210" s="19">
        <v>207</v>
      </c>
      <c r="M210" s="76">
        <f t="shared" si="33"/>
        <v>50496</v>
      </c>
      <c r="N210" s="77">
        <f t="shared" si="37"/>
        <v>0</v>
      </c>
      <c r="O210" s="77">
        <f t="shared" si="38"/>
        <v>2.4400651454925534E-9</v>
      </c>
      <c r="P210" s="24">
        <f t="shared" si="34"/>
        <v>2.4400651454925534E-9</v>
      </c>
      <c r="Q210" s="77">
        <f t="shared" si="39"/>
        <v>0</v>
      </c>
      <c r="R210" s="19">
        <f t="shared" si="35"/>
        <v>0</v>
      </c>
      <c r="S210" s="77">
        <f t="shared" si="36"/>
        <v>4.8801302909851074E-7</v>
      </c>
      <c r="T210" s="19">
        <f t="shared" si="40"/>
        <v>2.4400651454925534E-9</v>
      </c>
    </row>
    <row r="211" spans="12:20" x14ac:dyDescent="0.3">
      <c r="L211" s="20">
        <v>208</v>
      </c>
      <c r="M211" s="76">
        <f t="shared" si="33"/>
        <v>50526</v>
      </c>
      <c r="N211" s="77">
        <f t="shared" si="37"/>
        <v>0</v>
      </c>
      <c r="O211" s="77">
        <f t="shared" si="38"/>
        <v>2.4400651454925534E-9</v>
      </c>
      <c r="P211" s="24">
        <f t="shared" si="34"/>
        <v>2.4400651454925534E-9</v>
      </c>
      <c r="Q211" s="77">
        <f t="shared" si="39"/>
        <v>0</v>
      </c>
      <c r="R211" s="19">
        <f t="shared" si="35"/>
        <v>0</v>
      </c>
      <c r="S211" s="77">
        <f t="shared" si="36"/>
        <v>4.8801302909851074E-7</v>
      </c>
      <c r="T211" s="19">
        <f t="shared" si="40"/>
        <v>2.4400651454925534E-9</v>
      </c>
    </row>
    <row r="212" spans="12:20" x14ac:dyDescent="0.3">
      <c r="L212" s="19">
        <v>209</v>
      </c>
      <c r="M212" s="76">
        <f t="shared" si="33"/>
        <v>50557</v>
      </c>
      <c r="N212" s="77">
        <f t="shared" si="37"/>
        <v>0</v>
      </c>
      <c r="O212" s="77">
        <f t="shared" si="38"/>
        <v>2.4400651454925534E-9</v>
      </c>
      <c r="P212" s="24">
        <f t="shared" si="34"/>
        <v>2.4400651454925534E-9</v>
      </c>
      <c r="Q212" s="77">
        <f t="shared" si="39"/>
        <v>0</v>
      </c>
      <c r="R212" s="19">
        <f t="shared" si="35"/>
        <v>0</v>
      </c>
      <c r="S212" s="77">
        <f t="shared" si="36"/>
        <v>4.8801302909851074E-7</v>
      </c>
      <c r="T212" s="19">
        <f t="shared" si="40"/>
        <v>2.4400651454925534E-9</v>
      </c>
    </row>
    <row r="213" spans="12:20" x14ac:dyDescent="0.3">
      <c r="L213" s="20">
        <v>210</v>
      </c>
      <c r="M213" s="76">
        <f t="shared" si="33"/>
        <v>50587</v>
      </c>
      <c r="N213" s="77">
        <f t="shared" si="37"/>
        <v>0</v>
      </c>
      <c r="O213" s="77">
        <f t="shared" si="38"/>
        <v>2.4400651454925534E-9</v>
      </c>
      <c r="P213" s="24">
        <f t="shared" si="34"/>
        <v>2.4400651454925534E-9</v>
      </c>
      <c r="Q213" s="77">
        <f t="shared" si="39"/>
        <v>0</v>
      </c>
      <c r="R213" s="19">
        <f t="shared" si="35"/>
        <v>0</v>
      </c>
      <c r="S213" s="77">
        <f t="shared" si="36"/>
        <v>4.8801302909851074E-7</v>
      </c>
      <c r="T213" s="19">
        <f t="shared" si="40"/>
        <v>2.4400651454925534E-9</v>
      </c>
    </row>
    <row r="214" spans="12:20" x14ac:dyDescent="0.3">
      <c r="L214" s="19">
        <v>211</v>
      </c>
      <c r="M214" s="76">
        <f t="shared" si="33"/>
        <v>50618</v>
      </c>
      <c r="N214" s="77">
        <f t="shared" si="37"/>
        <v>0</v>
      </c>
      <c r="O214" s="77">
        <f t="shared" si="38"/>
        <v>2.4400651454925534E-9</v>
      </c>
      <c r="P214" s="24">
        <f t="shared" si="34"/>
        <v>2.4400651454925534E-9</v>
      </c>
      <c r="Q214" s="77">
        <f t="shared" si="39"/>
        <v>0</v>
      </c>
      <c r="R214" s="19">
        <f t="shared" si="35"/>
        <v>0</v>
      </c>
      <c r="S214" s="77">
        <f t="shared" si="36"/>
        <v>4.8801302909851074E-7</v>
      </c>
      <c r="T214" s="19">
        <f t="shared" si="40"/>
        <v>2.4400651454925534E-9</v>
      </c>
    </row>
    <row r="215" spans="12:20" x14ac:dyDescent="0.3">
      <c r="L215" s="20">
        <v>212</v>
      </c>
      <c r="M215" s="76">
        <f t="shared" si="33"/>
        <v>50649</v>
      </c>
      <c r="N215" s="77">
        <f t="shared" si="37"/>
        <v>0</v>
      </c>
      <c r="O215" s="77">
        <f t="shared" si="38"/>
        <v>2.4400651454925534E-9</v>
      </c>
      <c r="P215" s="24">
        <f t="shared" si="34"/>
        <v>2.4400651454925534E-9</v>
      </c>
      <c r="Q215" s="77">
        <f t="shared" si="39"/>
        <v>0</v>
      </c>
      <c r="R215" s="19">
        <f t="shared" si="35"/>
        <v>0</v>
      </c>
      <c r="S215" s="77">
        <f t="shared" si="36"/>
        <v>4.8801302909851074E-7</v>
      </c>
      <c r="T215" s="19">
        <f t="shared" si="40"/>
        <v>2.4400651454925534E-9</v>
      </c>
    </row>
    <row r="216" spans="12:20" x14ac:dyDescent="0.3">
      <c r="L216" s="19">
        <v>213</v>
      </c>
      <c r="M216" s="76">
        <f t="shared" si="33"/>
        <v>50679</v>
      </c>
      <c r="N216" s="77">
        <f t="shared" si="37"/>
        <v>0</v>
      </c>
      <c r="O216" s="77">
        <f t="shared" si="38"/>
        <v>2.4400651454925534E-9</v>
      </c>
      <c r="P216" s="24">
        <f t="shared" si="34"/>
        <v>2.4400651454925534E-9</v>
      </c>
      <c r="Q216" s="77">
        <f t="shared" si="39"/>
        <v>0</v>
      </c>
      <c r="R216" s="19">
        <f t="shared" si="35"/>
        <v>0</v>
      </c>
      <c r="S216" s="77">
        <f t="shared" si="36"/>
        <v>4.8801302909851074E-7</v>
      </c>
      <c r="T216" s="19">
        <f t="shared" si="40"/>
        <v>2.4400651454925534E-9</v>
      </c>
    </row>
    <row r="217" spans="12:20" x14ac:dyDescent="0.3">
      <c r="L217" s="20">
        <v>214</v>
      </c>
      <c r="M217" s="76">
        <f t="shared" si="33"/>
        <v>50710</v>
      </c>
      <c r="N217" s="77">
        <f t="shared" si="37"/>
        <v>0</v>
      </c>
      <c r="O217" s="77">
        <f t="shared" si="38"/>
        <v>2.4400651454925534E-9</v>
      </c>
      <c r="P217" s="24">
        <f t="shared" si="34"/>
        <v>2.4400651454925534E-9</v>
      </c>
      <c r="Q217" s="77">
        <f t="shared" si="39"/>
        <v>0</v>
      </c>
      <c r="R217" s="19">
        <f t="shared" si="35"/>
        <v>0</v>
      </c>
      <c r="S217" s="77">
        <f t="shared" si="36"/>
        <v>4.8801302909851074E-7</v>
      </c>
      <c r="T217" s="19">
        <f t="shared" si="40"/>
        <v>2.4400651454925534E-9</v>
      </c>
    </row>
    <row r="218" spans="12:20" x14ac:dyDescent="0.3">
      <c r="L218" s="19">
        <v>215</v>
      </c>
      <c r="M218" s="76">
        <f t="shared" si="33"/>
        <v>50740</v>
      </c>
      <c r="N218" s="77">
        <f t="shared" si="37"/>
        <v>0</v>
      </c>
      <c r="O218" s="77">
        <f t="shared" si="38"/>
        <v>2.4400651454925534E-9</v>
      </c>
      <c r="P218" s="24">
        <f t="shared" si="34"/>
        <v>2.4400651454925534E-9</v>
      </c>
      <c r="Q218" s="77">
        <f t="shared" si="39"/>
        <v>0</v>
      </c>
      <c r="R218" s="19">
        <f t="shared" si="35"/>
        <v>0</v>
      </c>
      <c r="S218" s="77">
        <f t="shared" si="36"/>
        <v>4.8801302909851074E-7</v>
      </c>
      <c r="T218" s="19">
        <f t="shared" si="40"/>
        <v>2.4400651454925534E-9</v>
      </c>
    </row>
    <row r="219" spans="12:20" x14ac:dyDescent="0.3">
      <c r="L219" s="20">
        <v>216</v>
      </c>
      <c r="M219" s="76">
        <f t="shared" si="33"/>
        <v>50771</v>
      </c>
      <c r="N219" s="77">
        <f t="shared" si="37"/>
        <v>0</v>
      </c>
      <c r="O219" s="77">
        <f t="shared" si="38"/>
        <v>2.4400651454925534E-9</v>
      </c>
      <c r="P219" s="24">
        <f t="shared" si="34"/>
        <v>2.4400651454925534E-9</v>
      </c>
      <c r="Q219" s="77">
        <f t="shared" si="39"/>
        <v>0</v>
      </c>
      <c r="R219" s="19">
        <f t="shared" si="35"/>
        <v>0</v>
      </c>
      <c r="S219" s="77">
        <f t="shared" si="36"/>
        <v>4.8801302909851074E-7</v>
      </c>
      <c r="T219" s="19">
        <f t="shared" si="40"/>
        <v>2.4400651454925534E-9</v>
      </c>
    </row>
    <row r="220" spans="12:20" x14ac:dyDescent="0.3">
      <c r="L220" s="19">
        <v>217</v>
      </c>
      <c r="M220" s="76">
        <f t="shared" si="33"/>
        <v>50802</v>
      </c>
      <c r="N220" s="77">
        <f t="shared" si="37"/>
        <v>0</v>
      </c>
      <c r="O220" s="77">
        <f t="shared" si="38"/>
        <v>2.4400651454925534E-9</v>
      </c>
      <c r="P220" s="24">
        <f t="shared" si="34"/>
        <v>2.4400651454925534E-9</v>
      </c>
      <c r="Q220" s="77">
        <f t="shared" si="39"/>
        <v>0</v>
      </c>
      <c r="R220" s="19">
        <f t="shared" si="35"/>
        <v>0</v>
      </c>
      <c r="S220" s="77">
        <f t="shared" si="36"/>
        <v>4.8801302909851074E-7</v>
      </c>
      <c r="T220" s="19">
        <f t="shared" si="40"/>
        <v>2.4400651454925534E-9</v>
      </c>
    </row>
    <row r="221" spans="12:20" x14ac:dyDescent="0.3">
      <c r="L221" s="20">
        <v>218</v>
      </c>
      <c r="M221" s="76">
        <f t="shared" si="33"/>
        <v>50830</v>
      </c>
      <c r="N221" s="77">
        <f t="shared" si="37"/>
        <v>0</v>
      </c>
      <c r="O221" s="77">
        <f t="shared" si="38"/>
        <v>2.4400651454925534E-9</v>
      </c>
      <c r="P221" s="24">
        <f t="shared" si="34"/>
        <v>2.4400651454925534E-9</v>
      </c>
      <c r="Q221" s="77">
        <f t="shared" si="39"/>
        <v>0</v>
      </c>
      <c r="R221" s="19">
        <f t="shared" si="35"/>
        <v>0</v>
      </c>
      <c r="S221" s="77">
        <f t="shared" si="36"/>
        <v>4.8801302909851074E-7</v>
      </c>
      <c r="T221" s="19">
        <f t="shared" si="40"/>
        <v>2.4400651454925534E-9</v>
      </c>
    </row>
    <row r="222" spans="12:20" x14ac:dyDescent="0.3">
      <c r="L222" s="19">
        <v>219</v>
      </c>
      <c r="M222" s="76">
        <f t="shared" si="33"/>
        <v>50861</v>
      </c>
      <c r="N222" s="77">
        <f t="shared" si="37"/>
        <v>0</v>
      </c>
      <c r="O222" s="77">
        <f t="shared" si="38"/>
        <v>2.4400651454925534E-9</v>
      </c>
      <c r="P222" s="24">
        <f t="shared" si="34"/>
        <v>2.4400651454925534E-9</v>
      </c>
      <c r="Q222" s="77">
        <f t="shared" si="39"/>
        <v>0</v>
      </c>
      <c r="R222" s="19">
        <f t="shared" si="35"/>
        <v>0</v>
      </c>
      <c r="S222" s="77">
        <f t="shared" si="36"/>
        <v>4.8801302909851074E-7</v>
      </c>
      <c r="T222" s="19">
        <f t="shared" si="40"/>
        <v>2.4400651454925534E-9</v>
      </c>
    </row>
    <row r="223" spans="12:20" x14ac:dyDescent="0.3">
      <c r="L223" s="20">
        <v>220</v>
      </c>
      <c r="M223" s="76">
        <f t="shared" si="33"/>
        <v>50891</v>
      </c>
      <c r="N223" s="77">
        <f t="shared" si="37"/>
        <v>0</v>
      </c>
      <c r="O223" s="77">
        <f t="shared" si="38"/>
        <v>2.4400651454925534E-9</v>
      </c>
      <c r="P223" s="24">
        <f t="shared" si="34"/>
        <v>2.4400651454925534E-9</v>
      </c>
      <c r="Q223" s="77">
        <f t="shared" si="39"/>
        <v>0</v>
      </c>
      <c r="R223" s="19">
        <f t="shared" si="35"/>
        <v>0</v>
      </c>
      <c r="S223" s="77">
        <f t="shared" si="36"/>
        <v>4.8801302909851074E-7</v>
      </c>
      <c r="T223" s="19">
        <f t="shared" si="40"/>
        <v>2.4400651454925534E-9</v>
      </c>
    </row>
    <row r="224" spans="12:20" x14ac:dyDescent="0.3">
      <c r="L224" s="19">
        <v>221</v>
      </c>
      <c r="M224" s="76">
        <f t="shared" si="33"/>
        <v>50922</v>
      </c>
      <c r="N224" s="77">
        <f t="shared" si="37"/>
        <v>0</v>
      </c>
      <c r="O224" s="77">
        <f t="shared" si="38"/>
        <v>2.4400651454925534E-9</v>
      </c>
      <c r="P224" s="24">
        <f t="shared" si="34"/>
        <v>2.4400651454925534E-9</v>
      </c>
      <c r="Q224" s="77">
        <f t="shared" si="39"/>
        <v>0</v>
      </c>
      <c r="R224" s="19">
        <f t="shared" si="35"/>
        <v>0</v>
      </c>
      <c r="S224" s="77">
        <f t="shared" si="36"/>
        <v>4.8801302909851074E-7</v>
      </c>
      <c r="T224" s="19">
        <f t="shared" si="40"/>
        <v>2.4400651454925534E-9</v>
      </c>
    </row>
    <row r="225" spans="12:20" x14ac:dyDescent="0.3">
      <c r="L225" s="20">
        <v>222</v>
      </c>
      <c r="M225" s="76">
        <f t="shared" si="33"/>
        <v>50952</v>
      </c>
      <c r="N225" s="77">
        <f t="shared" si="37"/>
        <v>0</v>
      </c>
      <c r="O225" s="77">
        <f t="shared" si="38"/>
        <v>2.4400651454925534E-9</v>
      </c>
      <c r="P225" s="24">
        <f t="shared" si="34"/>
        <v>2.4400651454925534E-9</v>
      </c>
      <c r="Q225" s="77">
        <f t="shared" si="39"/>
        <v>0</v>
      </c>
      <c r="R225" s="19">
        <f t="shared" si="35"/>
        <v>0</v>
      </c>
      <c r="S225" s="77">
        <f t="shared" si="36"/>
        <v>4.8801302909851074E-7</v>
      </c>
      <c r="T225" s="19">
        <f t="shared" si="40"/>
        <v>2.4400651454925534E-9</v>
      </c>
    </row>
    <row r="226" spans="12:20" x14ac:dyDescent="0.3">
      <c r="L226" s="19">
        <v>223</v>
      </c>
      <c r="M226" s="76">
        <f t="shared" si="33"/>
        <v>50983</v>
      </c>
      <c r="N226" s="77">
        <f t="shared" si="37"/>
        <v>0</v>
      </c>
      <c r="O226" s="77">
        <f t="shared" si="38"/>
        <v>2.4400651454925534E-9</v>
      </c>
      <c r="P226" s="24">
        <f t="shared" si="34"/>
        <v>2.4400651454925534E-9</v>
      </c>
      <c r="Q226" s="77">
        <f t="shared" si="39"/>
        <v>0</v>
      </c>
      <c r="R226" s="19">
        <f t="shared" si="35"/>
        <v>0</v>
      </c>
      <c r="S226" s="77">
        <f t="shared" si="36"/>
        <v>4.8801302909851074E-7</v>
      </c>
      <c r="T226" s="19">
        <f t="shared" si="40"/>
        <v>2.4400651454925534E-9</v>
      </c>
    </row>
    <row r="227" spans="12:20" x14ac:dyDescent="0.3">
      <c r="L227" s="20">
        <v>224</v>
      </c>
      <c r="M227" s="76">
        <f t="shared" si="33"/>
        <v>51014</v>
      </c>
      <c r="N227" s="77">
        <f t="shared" si="37"/>
        <v>0</v>
      </c>
      <c r="O227" s="77">
        <f t="shared" si="38"/>
        <v>2.4400651454925534E-9</v>
      </c>
      <c r="P227" s="24">
        <f t="shared" si="34"/>
        <v>2.4400651454925534E-9</v>
      </c>
      <c r="Q227" s="77">
        <f t="shared" si="39"/>
        <v>0</v>
      </c>
      <c r="R227" s="19">
        <f t="shared" si="35"/>
        <v>0</v>
      </c>
      <c r="S227" s="77">
        <f t="shared" si="36"/>
        <v>4.8801302909851074E-7</v>
      </c>
      <c r="T227" s="19">
        <f t="shared" si="40"/>
        <v>2.4400651454925534E-9</v>
      </c>
    </row>
    <row r="228" spans="12:20" x14ac:dyDescent="0.3">
      <c r="L228" s="19">
        <v>225</v>
      </c>
      <c r="M228" s="76">
        <f t="shared" si="33"/>
        <v>51044</v>
      </c>
      <c r="N228" s="77">
        <f t="shared" si="37"/>
        <v>0</v>
      </c>
      <c r="O228" s="77">
        <f t="shared" si="38"/>
        <v>2.4400651454925534E-9</v>
      </c>
      <c r="P228" s="24">
        <f t="shared" si="34"/>
        <v>2.4400651454925534E-9</v>
      </c>
      <c r="Q228" s="77">
        <f t="shared" si="39"/>
        <v>0</v>
      </c>
      <c r="R228" s="19">
        <f t="shared" si="35"/>
        <v>0</v>
      </c>
      <c r="S228" s="77">
        <f t="shared" si="36"/>
        <v>4.8801302909851074E-7</v>
      </c>
      <c r="T228" s="19">
        <f t="shared" si="40"/>
        <v>2.4400651454925534E-9</v>
      </c>
    </row>
    <row r="229" spans="12:20" x14ac:dyDescent="0.3">
      <c r="L229" s="20">
        <v>226</v>
      </c>
      <c r="M229" s="76">
        <f t="shared" si="33"/>
        <v>51075</v>
      </c>
      <c r="N229" s="77">
        <f t="shared" si="37"/>
        <v>0</v>
      </c>
      <c r="O229" s="77">
        <f t="shared" si="38"/>
        <v>2.4400651454925534E-9</v>
      </c>
      <c r="P229" s="24">
        <f t="shared" si="34"/>
        <v>2.4400651454925534E-9</v>
      </c>
      <c r="Q229" s="77">
        <f t="shared" si="39"/>
        <v>0</v>
      </c>
      <c r="R229" s="19">
        <f t="shared" si="35"/>
        <v>0</v>
      </c>
      <c r="S229" s="77">
        <f t="shared" si="36"/>
        <v>4.8801302909851074E-7</v>
      </c>
      <c r="T229" s="19">
        <f t="shared" si="40"/>
        <v>2.4400651454925534E-9</v>
      </c>
    </row>
    <row r="230" spans="12:20" x14ac:dyDescent="0.3">
      <c r="L230" s="19">
        <v>227</v>
      </c>
      <c r="M230" s="76">
        <f t="shared" si="33"/>
        <v>51105</v>
      </c>
      <c r="N230" s="77">
        <f t="shared" si="37"/>
        <v>0</v>
      </c>
      <c r="O230" s="77">
        <f t="shared" si="38"/>
        <v>2.4400651454925534E-9</v>
      </c>
      <c r="P230" s="24">
        <f t="shared" si="34"/>
        <v>2.4400651454925534E-9</v>
      </c>
      <c r="Q230" s="77">
        <f t="shared" si="39"/>
        <v>0</v>
      </c>
      <c r="R230" s="19">
        <f t="shared" si="35"/>
        <v>0</v>
      </c>
      <c r="S230" s="77">
        <f t="shared" si="36"/>
        <v>4.8801302909851074E-7</v>
      </c>
      <c r="T230" s="19">
        <f t="shared" si="40"/>
        <v>2.4400651454925534E-9</v>
      </c>
    </row>
    <row r="231" spans="12:20" x14ac:dyDescent="0.3">
      <c r="L231" s="20">
        <v>228</v>
      </c>
      <c r="M231" s="76">
        <f t="shared" si="33"/>
        <v>51136</v>
      </c>
      <c r="N231" s="77">
        <f t="shared" si="37"/>
        <v>0</v>
      </c>
      <c r="O231" s="77">
        <f t="shared" si="38"/>
        <v>2.4400651454925534E-9</v>
      </c>
      <c r="P231" s="24">
        <f t="shared" si="34"/>
        <v>2.4400651454925534E-9</v>
      </c>
      <c r="Q231" s="77">
        <f t="shared" si="39"/>
        <v>0</v>
      </c>
      <c r="R231" s="19">
        <f t="shared" si="35"/>
        <v>0</v>
      </c>
      <c r="S231" s="77">
        <f t="shared" si="36"/>
        <v>4.8801302909851074E-7</v>
      </c>
      <c r="T231" s="19">
        <f t="shared" si="40"/>
        <v>2.4400651454925534E-9</v>
      </c>
    </row>
    <row r="232" spans="12:20" x14ac:dyDescent="0.3">
      <c r="L232" s="19">
        <v>229</v>
      </c>
      <c r="M232" s="76">
        <f t="shared" si="33"/>
        <v>51167</v>
      </c>
      <c r="N232" s="77">
        <f t="shared" si="37"/>
        <v>0</v>
      </c>
      <c r="O232" s="77">
        <f t="shared" si="38"/>
        <v>2.4400651454925534E-9</v>
      </c>
      <c r="P232" s="24">
        <f t="shared" si="34"/>
        <v>2.4400651454925534E-9</v>
      </c>
      <c r="Q232" s="77">
        <f t="shared" si="39"/>
        <v>0</v>
      </c>
      <c r="R232" s="19">
        <f t="shared" si="35"/>
        <v>0</v>
      </c>
      <c r="S232" s="77">
        <f t="shared" si="36"/>
        <v>4.8801302909851074E-7</v>
      </c>
      <c r="T232" s="19">
        <f t="shared" si="40"/>
        <v>2.4400651454925534E-9</v>
      </c>
    </row>
    <row r="233" spans="12:20" x14ac:dyDescent="0.3">
      <c r="L233" s="20">
        <v>230</v>
      </c>
      <c r="M233" s="76">
        <f t="shared" si="33"/>
        <v>51196</v>
      </c>
      <c r="N233" s="77">
        <f t="shared" si="37"/>
        <v>0</v>
      </c>
      <c r="O233" s="77">
        <f t="shared" si="38"/>
        <v>2.4400651454925534E-9</v>
      </c>
      <c r="P233" s="24">
        <f t="shared" si="34"/>
        <v>2.4400651454925534E-9</v>
      </c>
      <c r="Q233" s="77">
        <f t="shared" si="39"/>
        <v>0</v>
      </c>
      <c r="R233" s="19">
        <f t="shared" si="35"/>
        <v>0</v>
      </c>
      <c r="S233" s="77">
        <f t="shared" si="36"/>
        <v>4.8801302909851074E-7</v>
      </c>
      <c r="T233" s="19">
        <f t="shared" si="40"/>
        <v>2.4400651454925534E-9</v>
      </c>
    </row>
    <row r="234" spans="12:20" x14ac:dyDescent="0.3">
      <c r="L234" s="19">
        <v>231</v>
      </c>
      <c r="M234" s="76">
        <f t="shared" si="33"/>
        <v>51227</v>
      </c>
      <c r="N234" s="77">
        <f t="shared" si="37"/>
        <v>0</v>
      </c>
      <c r="O234" s="77">
        <f t="shared" si="38"/>
        <v>2.4400651454925534E-9</v>
      </c>
      <c r="P234" s="24">
        <f t="shared" si="34"/>
        <v>2.4400651454925534E-9</v>
      </c>
      <c r="Q234" s="77">
        <f t="shared" si="39"/>
        <v>0</v>
      </c>
      <c r="R234" s="19">
        <f t="shared" si="35"/>
        <v>0</v>
      </c>
      <c r="S234" s="77">
        <f t="shared" si="36"/>
        <v>4.8801302909851074E-7</v>
      </c>
      <c r="T234" s="19">
        <f t="shared" si="40"/>
        <v>2.4400651454925534E-9</v>
      </c>
    </row>
    <row r="235" spans="12:20" x14ac:dyDescent="0.3">
      <c r="L235" s="20">
        <v>232</v>
      </c>
      <c r="M235" s="76">
        <f t="shared" si="33"/>
        <v>51257</v>
      </c>
      <c r="N235" s="77">
        <f t="shared" si="37"/>
        <v>0</v>
      </c>
      <c r="O235" s="77">
        <f t="shared" si="38"/>
        <v>2.4400651454925534E-9</v>
      </c>
      <c r="P235" s="24">
        <f t="shared" si="34"/>
        <v>2.4400651454925534E-9</v>
      </c>
      <c r="Q235" s="77">
        <f t="shared" si="39"/>
        <v>0</v>
      </c>
      <c r="R235" s="19">
        <f t="shared" si="35"/>
        <v>0</v>
      </c>
      <c r="S235" s="77">
        <f t="shared" si="36"/>
        <v>4.8801302909851074E-7</v>
      </c>
      <c r="T235" s="19">
        <f t="shared" si="40"/>
        <v>2.4400651454925534E-9</v>
      </c>
    </row>
    <row r="236" spans="12:20" x14ac:dyDescent="0.3">
      <c r="L236" s="19">
        <v>233</v>
      </c>
      <c r="M236" s="76">
        <f t="shared" si="33"/>
        <v>51288</v>
      </c>
      <c r="N236" s="77">
        <f t="shared" si="37"/>
        <v>0</v>
      </c>
      <c r="O236" s="77">
        <f t="shared" si="38"/>
        <v>2.4400651454925534E-9</v>
      </c>
      <c r="P236" s="24">
        <f t="shared" si="34"/>
        <v>2.4400651454925534E-9</v>
      </c>
      <c r="Q236" s="77">
        <f t="shared" si="39"/>
        <v>0</v>
      </c>
      <c r="R236" s="19">
        <f t="shared" si="35"/>
        <v>0</v>
      </c>
      <c r="S236" s="77">
        <f t="shared" si="36"/>
        <v>4.8801302909851074E-7</v>
      </c>
      <c r="T236" s="19">
        <f t="shared" si="40"/>
        <v>2.4400651454925534E-9</v>
      </c>
    </row>
    <row r="237" spans="12:20" x14ac:dyDescent="0.3">
      <c r="L237" s="20">
        <v>234</v>
      </c>
      <c r="M237" s="76">
        <f t="shared" si="33"/>
        <v>51318</v>
      </c>
      <c r="N237" s="77">
        <f t="shared" si="37"/>
        <v>0</v>
      </c>
      <c r="O237" s="77">
        <f t="shared" si="38"/>
        <v>2.4400651454925534E-9</v>
      </c>
      <c r="P237" s="24">
        <f t="shared" si="34"/>
        <v>2.4400651454925534E-9</v>
      </c>
      <c r="Q237" s="77">
        <f t="shared" si="39"/>
        <v>0</v>
      </c>
      <c r="R237" s="19">
        <f t="shared" si="35"/>
        <v>0</v>
      </c>
      <c r="S237" s="77">
        <f t="shared" si="36"/>
        <v>4.8801302909851074E-7</v>
      </c>
      <c r="T237" s="19">
        <f t="shared" si="40"/>
        <v>2.4400651454925534E-9</v>
      </c>
    </row>
    <row r="238" spans="12:20" x14ac:dyDescent="0.3">
      <c r="L238" s="19">
        <v>235</v>
      </c>
      <c r="M238" s="76">
        <f t="shared" si="33"/>
        <v>51349</v>
      </c>
      <c r="N238" s="77">
        <f t="shared" si="37"/>
        <v>0</v>
      </c>
      <c r="O238" s="77">
        <f t="shared" si="38"/>
        <v>2.4400651454925534E-9</v>
      </c>
      <c r="P238" s="24">
        <f t="shared" si="34"/>
        <v>2.4400651454925534E-9</v>
      </c>
      <c r="Q238" s="77">
        <f t="shared" si="39"/>
        <v>0</v>
      </c>
      <c r="R238" s="19">
        <f t="shared" si="35"/>
        <v>0</v>
      </c>
      <c r="S238" s="77">
        <f t="shared" si="36"/>
        <v>4.8801302909851074E-7</v>
      </c>
      <c r="T238" s="19">
        <f t="shared" si="40"/>
        <v>2.4400651454925534E-9</v>
      </c>
    </row>
    <row r="239" spans="12:20" x14ac:dyDescent="0.3">
      <c r="L239" s="20">
        <v>236</v>
      </c>
      <c r="M239" s="76">
        <f t="shared" si="33"/>
        <v>51380</v>
      </c>
      <c r="N239" s="77">
        <f t="shared" si="37"/>
        <v>0</v>
      </c>
      <c r="O239" s="77">
        <f t="shared" si="38"/>
        <v>2.4400651454925534E-9</v>
      </c>
      <c r="P239" s="24">
        <f t="shared" si="34"/>
        <v>2.4400651454925534E-9</v>
      </c>
      <c r="Q239" s="77">
        <f t="shared" si="39"/>
        <v>0</v>
      </c>
      <c r="R239" s="19">
        <f t="shared" si="35"/>
        <v>0</v>
      </c>
      <c r="S239" s="77">
        <f t="shared" si="36"/>
        <v>4.8801302909851074E-7</v>
      </c>
      <c r="T239" s="19">
        <f t="shared" si="40"/>
        <v>2.4400651454925534E-9</v>
      </c>
    </row>
    <row r="240" spans="12:20" x14ac:dyDescent="0.3">
      <c r="L240" s="19">
        <v>237</v>
      </c>
      <c r="M240" s="76">
        <f t="shared" si="33"/>
        <v>51410</v>
      </c>
      <c r="N240" s="77">
        <f t="shared" si="37"/>
        <v>0</v>
      </c>
      <c r="O240" s="77">
        <f t="shared" si="38"/>
        <v>2.4400651454925534E-9</v>
      </c>
      <c r="P240" s="24">
        <f t="shared" si="34"/>
        <v>2.4400651454925534E-9</v>
      </c>
      <c r="Q240" s="77">
        <f t="shared" si="39"/>
        <v>0</v>
      </c>
      <c r="R240" s="19">
        <f t="shared" si="35"/>
        <v>0</v>
      </c>
      <c r="S240" s="77">
        <f t="shared" si="36"/>
        <v>4.8801302909851074E-7</v>
      </c>
      <c r="T240" s="19">
        <f t="shared" si="40"/>
        <v>2.4400651454925534E-9</v>
      </c>
    </row>
    <row r="241" spans="12:20" x14ac:dyDescent="0.3">
      <c r="L241" s="20">
        <v>238</v>
      </c>
      <c r="M241" s="76">
        <f t="shared" si="33"/>
        <v>51441</v>
      </c>
      <c r="N241" s="77">
        <f t="shared" si="37"/>
        <v>0</v>
      </c>
      <c r="O241" s="77">
        <f t="shared" si="38"/>
        <v>2.4400651454925534E-9</v>
      </c>
      <c r="P241" s="24">
        <f t="shared" si="34"/>
        <v>2.4400651454925534E-9</v>
      </c>
      <c r="Q241" s="77">
        <f t="shared" si="39"/>
        <v>0</v>
      </c>
      <c r="R241" s="19">
        <f t="shared" si="35"/>
        <v>0</v>
      </c>
      <c r="S241" s="77">
        <f t="shared" si="36"/>
        <v>4.8801302909851074E-7</v>
      </c>
      <c r="T241" s="19">
        <f t="shared" si="40"/>
        <v>2.4400651454925534E-9</v>
      </c>
    </row>
    <row r="242" spans="12:20" x14ac:dyDescent="0.3">
      <c r="L242" s="19">
        <v>239</v>
      </c>
      <c r="M242" s="76">
        <f t="shared" si="33"/>
        <v>51471</v>
      </c>
      <c r="N242" s="77">
        <f t="shared" si="37"/>
        <v>0</v>
      </c>
      <c r="O242" s="77">
        <f t="shared" si="38"/>
        <v>2.4400651454925534E-9</v>
      </c>
      <c r="P242" s="24">
        <f t="shared" si="34"/>
        <v>2.4400651454925534E-9</v>
      </c>
      <c r="Q242" s="77">
        <f t="shared" si="39"/>
        <v>0</v>
      </c>
      <c r="R242" s="19">
        <f t="shared" si="35"/>
        <v>0</v>
      </c>
      <c r="S242" s="77">
        <f t="shared" si="36"/>
        <v>4.8801302909851074E-7</v>
      </c>
      <c r="T242" s="19">
        <f t="shared" si="40"/>
        <v>2.4400651454925534E-9</v>
      </c>
    </row>
    <row r="243" spans="12:20" x14ac:dyDescent="0.3">
      <c r="L243" s="20">
        <v>240</v>
      </c>
      <c r="M243" s="76">
        <f t="shared" si="33"/>
        <v>51502</v>
      </c>
      <c r="N243" s="77">
        <f t="shared" si="37"/>
        <v>0</v>
      </c>
      <c r="O243" s="77">
        <f t="shared" si="38"/>
        <v>2.4400651454925534E-9</v>
      </c>
      <c r="P243" s="24">
        <f t="shared" si="34"/>
        <v>2.4400651454925534E-9</v>
      </c>
      <c r="Q243" s="77">
        <f t="shared" si="39"/>
        <v>0</v>
      </c>
      <c r="R243" s="19">
        <f t="shared" si="35"/>
        <v>0</v>
      </c>
      <c r="S243" s="77">
        <f t="shared" si="36"/>
        <v>4.8801302909851074E-7</v>
      </c>
      <c r="T243" s="19">
        <f t="shared" si="40"/>
        <v>2.4400651454925534E-9</v>
      </c>
    </row>
  </sheetData>
  <mergeCells count="8">
    <mergeCell ref="A24:G24"/>
    <mergeCell ref="A25:G25"/>
    <mergeCell ref="A1:V1"/>
    <mergeCell ref="AA1:AD1"/>
    <mergeCell ref="U3:V3"/>
    <mergeCell ref="U9:V9"/>
    <mergeCell ref="U13:V13"/>
    <mergeCell ref="U18:V18"/>
  </mergeCells>
  <phoneticPr fontId="4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8"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P26"/>
  <sheetViews>
    <sheetView view="pageBreakPreview" zoomScale="115" zoomScaleNormal="100" zoomScaleSheetLayoutView="115" workbookViewId="0">
      <selection activeCell="B22" sqref="B22:H22"/>
    </sheetView>
  </sheetViews>
  <sheetFormatPr defaultRowHeight="16.5" x14ac:dyDescent="0.3"/>
  <cols>
    <col min="1" max="1" width="11.625" bestFit="1" customWidth="1"/>
    <col min="2" max="2" width="29.125" bestFit="1" customWidth="1"/>
    <col min="3" max="3" width="8.625" bestFit="1" customWidth="1"/>
    <col min="4" max="5" width="5.875" bestFit="1" customWidth="1"/>
    <col min="6" max="6" width="13.75" bestFit="1" customWidth="1"/>
    <col min="7" max="7" width="26.125" customWidth="1"/>
    <col min="8" max="8" width="21.625" customWidth="1"/>
    <col min="10" max="10" width="8.875" bestFit="1" customWidth="1"/>
    <col min="11" max="11" width="5.5" bestFit="1" customWidth="1"/>
    <col min="12" max="12" width="7.5" bestFit="1" customWidth="1"/>
    <col min="13" max="13" width="8.875" bestFit="1" customWidth="1"/>
    <col min="14" max="14" width="6.375" customWidth="1"/>
    <col min="15" max="16" width="4.5" bestFit="1" customWidth="1"/>
    <col min="17" max="17" width="10.5" bestFit="1" customWidth="1"/>
  </cols>
  <sheetData>
    <row r="1" spans="1:16" ht="40.5" customHeight="1" x14ac:dyDescent="0.3">
      <c r="A1" s="231" t="s">
        <v>72</v>
      </c>
      <c r="B1" s="231"/>
      <c r="C1" s="231"/>
      <c r="D1" s="231"/>
      <c r="E1" s="231"/>
      <c r="F1" s="231"/>
      <c r="G1" s="231"/>
      <c r="H1" s="231"/>
    </row>
    <row r="2" spans="1:16" ht="18" customHeight="1" x14ac:dyDescent="0.3">
      <c r="A2" s="98"/>
      <c r="B2" s="98"/>
      <c r="C2" s="98"/>
      <c r="D2" s="98"/>
      <c r="E2" s="98"/>
      <c r="F2" s="98"/>
      <c r="G2" s="98"/>
      <c r="H2" s="98"/>
    </row>
    <row r="3" spans="1:16" x14ac:dyDescent="0.3">
      <c r="A3" s="232" t="s">
        <v>266</v>
      </c>
      <c r="B3" s="233"/>
      <c r="C3" s="235" t="s">
        <v>73</v>
      </c>
      <c r="E3" s="237" t="s">
        <v>109</v>
      </c>
      <c r="F3" s="237"/>
      <c r="G3" s="237"/>
      <c r="H3" s="237"/>
    </row>
    <row r="4" spans="1:16" x14ac:dyDescent="0.3">
      <c r="A4" s="234"/>
      <c r="B4" s="234"/>
      <c r="C4" s="236"/>
      <c r="D4" s="99"/>
      <c r="E4" s="237"/>
      <c r="F4" s="237"/>
      <c r="G4" s="237"/>
      <c r="H4" s="237"/>
    </row>
    <row r="5" spans="1:16" x14ac:dyDescent="0.3">
      <c r="A5" s="238" t="s">
        <v>114</v>
      </c>
      <c r="B5" s="238"/>
      <c r="C5" s="238"/>
      <c r="D5" s="100"/>
      <c r="E5" s="101"/>
      <c r="F5" s="239" t="s">
        <v>110</v>
      </c>
      <c r="G5" s="239"/>
      <c r="H5" s="239"/>
    </row>
    <row r="6" spans="1:16" x14ac:dyDescent="0.3">
      <c r="A6" s="238"/>
      <c r="B6" s="238"/>
      <c r="C6" s="238"/>
      <c r="D6" s="100"/>
      <c r="E6" s="101"/>
      <c r="F6" s="239" t="s">
        <v>112</v>
      </c>
      <c r="G6" s="239"/>
    </row>
    <row r="7" spans="1:16" x14ac:dyDescent="0.3">
      <c r="A7" s="238" t="s">
        <v>113</v>
      </c>
      <c r="B7" s="238"/>
      <c r="C7" s="238"/>
      <c r="D7" s="239"/>
      <c r="E7" s="101"/>
      <c r="F7" s="239" t="s">
        <v>111</v>
      </c>
      <c r="G7" s="239"/>
      <c r="H7" s="101"/>
    </row>
    <row r="8" spans="1:16" x14ac:dyDescent="0.3">
      <c r="A8" s="238"/>
      <c r="B8" s="238"/>
      <c r="C8" s="238"/>
      <c r="D8" s="239"/>
      <c r="E8" s="101"/>
      <c r="G8" s="101"/>
      <c r="H8" s="101"/>
    </row>
    <row r="9" spans="1:16" x14ac:dyDescent="0.3">
      <c r="A9" s="240" t="s">
        <v>75</v>
      </c>
      <c r="B9" s="241"/>
      <c r="C9" s="241"/>
      <c r="D9" s="101"/>
      <c r="E9" s="239"/>
      <c r="F9" s="104"/>
      <c r="G9" s="242" t="s">
        <v>76</v>
      </c>
      <c r="H9" s="248">
        <f ca="1">TODAY()</f>
        <v>46133</v>
      </c>
      <c r="J9" t="s">
        <v>272</v>
      </c>
    </row>
    <row r="10" spans="1:16" x14ac:dyDescent="0.3">
      <c r="A10" s="241"/>
      <c r="B10" s="241"/>
      <c r="C10" s="241"/>
      <c r="D10" s="101"/>
      <c r="E10" s="239"/>
      <c r="F10" s="104"/>
      <c r="G10" s="243"/>
      <c r="H10" s="249"/>
    </row>
    <row r="11" spans="1:16" x14ac:dyDescent="0.3">
      <c r="A11" s="102"/>
      <c r="B11" s="102"/>
      <c r="C11" s="102"/>
      <c r="D11" s="101"/>
      <c r="F11" s="105"/>
      <c r="G11" s="106"/>
      <c r="H11" s="105"/>
    </row>
    <row r="12" spans="1:16" x14ac:dyDescent="0.3">
      <c r="A12" s="102"/>
      <c r="B12" s="102"/>
      <c r="C12" s="102"/>
      <c r="D12" s="101"/>
      <c r="E12" s="102"/>
      <c r="F12" s="107"/>
      <c r="G12" s="107"/>
    </row>
    <row r="13" spans="1:16" x14ac:dyDescent="0.3">
      <c r="A13" s="102"/>
      <c r="B13" s="102"/>
      <c r="C13" s="102"/>
      <c r="D13" s="101"/>
      <c r="E13" s="102"/>
      <c r="F13" s="107"/>
      <c r="G13" s="107"/>
    </row>
    <row r="14" spans="1:16" ht="17.25" thickBot="1" x14ac:dyDescent="0.35">
      <c r="A14" s="101"/>
      <c r="B14" s="101"/>
      <c r="C14" s="101"/>
      <c r="D14" s="101"/>
      <c r="E14" s="101"/>
      <c r="F14" s="101"/>
      <c r="G14" s="101"/>
      <c r="H14" s="108" t="s">
        <v>267</v>
      </c>
    </row>
    <row r="15" spans="1:16" ht="17.25" thickBot="1" x14ac:dyDescent="0.35">
      <c r="A15" s="103" t="s">
        <v>78</v>
      </c>
      <c r="B15" s="103" t="s">
        <v>79</v>
      </c>
      <c r="C15" s="103" t="s">
        <v>80</v>
      </c>
      <c r="D15" s="103" t="s">
        <v>81</v>
      </c>
      <c r="E15" s="103" t="s">
        <v>82</v>
      </c>
      <c r="F15" s="103" t="s">
        <v>83</v>
      </c>
      <c r="G15" s="103" t="s">
        <v>84</v>
      </c>
      <c r="H15" s="103" t="s">
        <v>85</v>
      </c>
      <c r="J15" s="244" t="s">
        <v>98</v>
      </c>
      <c r="K15" s="245"/>
    </row>
    <row r="16" spans="1:16" x14ac:dyDescent="0.3">
      <c r="A16" s="109">
        <v>1</v>
      </c>
      <c r="B16" s="110" t="s">
        <v>279</v>
      </c>
      <c r="C16" s="111"/>
      <c r="D16" s="111"/>
      <c r="E16" s="112"/>
      <c r="F16" s="155"/>
      <c r="G16" s="113">
        <v>141399400</v>
      </c>
      <c r="H16" s="112"/>
      <c r="J16" s="131">
        <f>현물가1.5!$Z$4</f>
        <v>152</v>
      </c>
      <c r="K16" s="132">
        <v>1000</v>
      </c>
      <c r="L16" s="132">
        <f>PRODUCT(J16:K16)</f>
        <v>152000</v>
      </c>
      <c r="M16" s="132">
        <v>600</v>
      </c>
      <c r="N16" s="132">
        <f>L16/M16</f>
        <v>253.33333333333334</v>
      </c>
      <c r="O16" s="132">
        <f>ROUND(N16,-1)</f>
        <v>250</v>
      </c>
      <c r="P16" s="133">
        <f>ROUNDUP(O16,-1)</f>
        <v>250</v>
      </c>
    </row>
    <row r="17" spans="1:16" ht="17.25" thickBot="1" x14ac:dyDescent="0.35">
      <c r="A17" s="109">
        <v>2</v>
      </c>
      <c r="B17" s="110" t="s">
        <v>115</v>
      </c>
      <c r="C17" s="111"/>
      <c r="D17" s="111"/>
      <c r="E17" s="112"/>
      <c r="F17" s="155"/>
      <c r="G17" s="113">
        <v>30000000</v>
      </c>
      <c r="H17" s="112"/>
      <c r="J17" s="134">
        <f>현물가1.5!$Z$4</f>
        <v>152</v>
      </c>
      <c r="K17" s="135">
        <v>50</v>
      </c>
      <c r="L17" s="135">
        <f>J17/K17</f>
        <v>3.04</v>
      </c>
      <c r="M17" s="135">
        <f>ROUNDUP(L17,0)</f>
        <v>4</v>
      </c>
      <c r="N17" s="135"/>
      <c r="O17" s="135"/>
      <c r="P17" s="136"/>
    </row>
    <row r="18" spans="1:16" x14ac:dyDescent="0.3">
      <c r="A18" s="109">
        <v>3</v>
      </c>
      <c r="B18" s="111" t="s">
        <v>144</v>
      </c>
      <c r="C18" s="111"/>
      <c r="D18" s="111"/>
      <c r="E18" s="112"/>
      <c r="F18" s="112"/>
      <c r="G18" s="113">
        <f>SUM(G19)-(G16+G17)</f>
        <v>164964236</v>
      </c>
      <c r="H18" s="112"/>
      <c r="J18" s="131"/>
      <c r="K18" s="132"/>
      <c r="L18" s="132"/>
      <c r="M18" s="132"/>
      <c r="N18" s="132"/>
      <c r="O18" s="132"/>
      <c r="P18" s="133"/>
    </row>
    <row r="19" spans="1:16" x14ac:dyDescent="0.3">
      <c r="A19" s="114"/>
      <c r="B19" s="250" t="s">
        <v>96</v>
      </c>
      <c r="C19" s="251"/>
      <c r="D19" s="251"/>
      <c r="E19" s="251"/>
      <c r="F19" s="252"/>
      <c r="G19" s="115">
        <v>336363636</v>
      </c>
      <c r="H19" s="116"/>
      <c r="J19" s="142"/>
      <c r="P19" s="143"/>
    </row>
    <row r="20" spans="1:16" x14ac:dyDescent="0.3">
      <c r="A20" s="117" t="s">
        <v>87</v>
      </c>
      <c r="B20" s="118"/>
      <c r="C20" s="118"/>
      <c r="D20" s="118"/>
      <c r="E20" s="118"/>
      <c r="F20" s="118"/>
      <c r="G20" s="118"/>
      <c r="H20" s="119"/>
      <c r="J20" s="142" t="s">
        <v>101</v>
      </c>
      <c r="K20" s="257" t="s">
        <v>102</v>
      </c>
      <c r="L20" s="257"/>
      <c r="M20" s="257"/>
      <c r="N20" s="257"/>
      <c r="P20" s="143"/>
    </row>
    <row r="21" spans="1:16" x14ac:dyDescent="0.3">
      <c r="A21" s="120"/>
      <c r="B21" s="253" t="s">
        <v>268</v>
      </c>
      <c r="C21" s="253"/>
      <c r="D21" s="253"/>
      <c r="E21" s="253"/>
      <c r="F21" s="253"/>
      <c r="G21" s="253"/>
      <c r="H21" s="254"/>
      <c r="J21" s="142" t="s">
        <v>99</v>
      </c>
      <c r="K21" s="257" t="s">
        <v>103</v>
      </c>
      <c r="L21" s="257"/>
      <c r="M21" s="257"/>
      <c r="N21" s="257"/>
      <c r="P21" s="143"/>
    </row>
    <row r="22" spans="1:16" x14ac:dyDescent="0.3">
      <c r="A22" s="120"/>
      <c r="B22" s="255" t="s">
        <v>89</v>
      </c>
      <c r="C22" s="255"/>
      <c r="D22" s="255"/>
      <c r="E22" s="255"/>
      <c r="F22" s="255"/>
      <c r="G22" s="255"/>
      <c r="H22" s="256"/>
      <c r="J22" s="142"/>
      <c r="P22" s="143"/>
    </row>
    <row r="23" spans="1:16" x14ac:dyDescent="0.3">
      <c r="A23" s="120"/>
      <c r="B23" s="255" t="s">
        <v>90</v>
      </c>
      <c r="C23" s="255"/>
      <c r="D23" s="255"/>
      <c r="E23" s="255"/>
      <c r="F23" s="255"/>
      <c r="G23" s="255"/>
      <c r="H23" s="256"/>
      <c r="J23" s="142" t="str">
        <f>현물가1.5!Z1</f>
        <v>진코</v>
      </c>
      <c r="K23" s="257" t="str">
        <f>IF(J23=J21,K21,K20)</f>
        <v>진코 620W 무등급 양면모듈</v>
      </c>
      <c r="L23" s="257"/>
      <c r="M23" s="257"/>
      <c r="N23" s="257"/>
      <c r="P23" s="143"/>
    </row>
    <row r="24" spans="1:16" ht="17.25" thickBot="1" x14ac:dyDescent="0.35">
      <c r="A24" s="120"/>
      <c r="B24" s="255" t="s">
        <v>91</v>
      </c>
      <c r="C24" s="255"/>
      <c r="D24" s="255"/>
      <c r="E24" s="255"/>
      <c r="F24" s="255"/>
      <c r="G24" s="255"/>
      <c r="H24" s="256"/>
      <c r="J24" s="134"/>
      <c r="K24" s="135"/>
      <c r="L24" s="135"/>
      <c r="M24" s="135"/>
      <c r="N24" s="135"/>
      <c r="O24" s="135"/>
      <c r="P24" s="136"/>
    </row>
    <row r="25" spans="1:16" x14ac:dyDescent="0.3">
      <c r="A25" s="120"/>
      <c r="B25" s="101" t="s">
        <v>92</v>
      </c>
      <c r="C25" s="101"/>
      <c r="D25" s="101"/>
      <c r="E25" s="101"/>
      <c r="F25" s="101"/>
      <c r="G25" s="101"/>
      <c r="H25" s="121"/>
    </row>
    <row r="26" spans="1:16" x14ac:dyDescent="0.3">
      <c r="A26" s="122"/>
      <c r="B26" s="246" t="s">
        <v>93</v>
      </c>
      <c r="C26" s="246"/>
      <c r="D26" s="246"/>
      <c r="E26" s="246"/>
      <c r="F26" s="246"/>
      <c r="G26" s="246"/>
      <c r="H26" s="247"/>
    </row>
  </sheetData>
  <mergeCells count="24">
    <mergeCell ref="A1:H1"/>
    <mergeCell ref="A3:B4"/>
    <mergeCell ref="C3:C4"/>
    <mergeCell ref="E3:H4"/>
    <mergeCell ref="A5:C6"/>
    <mergeCell ref="F5:H5"/>
    <mergeCell ref="F6:G6"/>
    <mergeCell ref="A7:C8"/>
    <mergeCell ref="D7:D8"/>
    <mergeCell ref="F7:G7"/>
    <mergeCell ref="A9:C10"/>
    <mergeCell ref="E9:E10"/>
    <mergeCell ref="G9:G10"/>
    <mergeCell ref="H9:H10"/>
    <mergeCell ref="J15:K15"/>
    <mergeCell ref="B19:F19"/>
    <mergeCell ref="K20:N20"/>
    <mergeCell ref="B21:H21"/>
    <mergeCell ref="K21:N21"/>
    <mergeCell ref="B22:H22"/>
    <mergeCell ref="B23:H23"/>
    <mergeCell ref="K23:N23"/>
    <mergeCell ref="B24:H24"/>
    <mergeCell ref="B26:H26"/>
  </mergeCells>
  <phoneticPr fontId="4" type="noConversion"/>
  <pageMargins left="0.7" right="0.7" top="0.75" bottom="0.75" header="0.3" footer="0.3"/>
  <pageSetup paperSize="9" scale="9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5"/>
  <sheetViews>
    <sheetView zoomScale="55" zoomScaleNormal="55" workbookViewId="0">
      <selection activeCell="P14" sqref="P14"/>
    </sheetView>
  </sheetViews>
  <sheetFormatPr defaultRowHeight="16.5" x14ac:dyDescent="0.3"/>
  <cols>
    <col min="1" max="1" width="15.875" customWidth="1"/>
    <col min="2" max="2" width="14.375" customWidth="1"/>
    <col min="3" max="3" width="81.25" customWidth="1"/>
    <col min="4" max="4" width="14.125" customWidth="1"/>
    <col min="5" max="5" width="11" customWidth="1"/>
    <col min="6" max="6" width="21.875" customWidth="1"/>
    <col min="7" max="7" width="22.75" customWidth="1"/>
    <col min="8" max="8" width="17.125" customWidth="1"/>
    <col min="12" max="12" width="28.875" customWidth="1"/>
    <col min="18" max="18" width="13.25" bestFit="1" customWidth="1"/>
  </cols>
  <sheetData>
    <row r="1" spans="1:18" ht="49.5" customHeight="1" x14ac:dyDescent="0.3">
      <c r="A1" s="299" t="s">
        <v>271</v>
      </c>
      <c r="B1" s="299"/>
      <c r="C1" s="299"/>
      <c r="D1" s="299"/>
      <c r="E1" s="299"/>
      <c r="F1" s="299"/>
      <c r="G1" s="299"/>
      <c r="H1" s="299"/>
    </row>
    <row r="2" spans="1:18" ht="20.25" customHeight="1" x14ac:dyDescent="0.3">
      <c r="A2" s="300" t="s">
        <v>116</v>
      </c>
      <c r="B2" s="300"/>
      <c r="C2" s="300"/>
      <c r="D2" s="300"/>
      <c r="E2" s="300"/>
      <c r="F2" s="300"/>
      <c r="G2" s="300"/>
      <c r="H2" s="300"/>
    </row>
    <row r="3" spans="1:18" ht="33" customHeight="1" x14ac:dyDescent="0.3">
      <c r="A3" s="156" t="s">
        <v>23</v>
      </c>
      <c r="B3" s="157" t="s">
        <v>117</v>
      </c>
      <c r="C3" s="157"/>
      <c r="D3" s="157" t="s">
        <v>118</v>
      </c>
      <c r="E3" s="157" t="s">
        <v>119</v>
      </c>
      <c r="F3" s="157" t="s">
        <v>120</v>
      </c>
      <c r="G3" s="157" t="s">
        <v>121</v>
      </c>
      <c r="H3" s="158" t="s">
        <v>122</v>
      </c>
    </row>
    <row r="4" spans="1:18" ht="30" customHeight="1" x14ac:dyDescent="0.3">
      <c r="A4" s="289" t="s">
        <v>123</v>
      </c>
      <c r="B4" s="278" t="s">
        <v>124</v>
      </c>
      <c r="C4" s="159" t="s">
        <v>280</v>
      </c>
      <c r="D4" s="278" t="s">
        <v>275</v>
      </c>
      <c r="E4" s="187">
        <v>528</v>
      </c>
      <c r="F4" s="188">
        <v>271000</v>
      </c>
      <c r="G4" s="189">
        <f t="shared" ref="G4:G10" si="0">SUM(E4*F4)</f>
        <v>143088000</v>
      </c>
      <c r="H4" s="191" t="s">
        <v>276</v>
      </c>
    </row>
    <row r="5" spans="1:18" ht="30" customHeight="1" x14ac:dyDescent="0.3">
      <c r="A5" s="295"/>
      <c r="B5" s="279"/>
      <c r="C5" s="160" t="s">
        <v>125</v>
      </c>
      <c r="D5" s="279"/>
      <c r="E5" s="187">
        <v>6</v>
      </c>
      <c r="F5" s="188">
        <v>5000000</v>
      </c>
      <c r="G5" s="189">
        <f t="shared" si="0"/>
        <v>30000000</v>
      </c>
      <c r="H5" s="171"/>
      <c r="L5" s="185"/>
    </row>
    <row r="6" spans="1:18" ht="30" customHeight="1" x14ac:dyDescent="0.3">
      <c r="A6" s="295"/>
      <c r="B6" s="279"/>
      <c r="C6" s="162" t="s">
        <v>126</v>
      </c>
      <c r="D6" s="279"/>
      <c r="E6" s="187">
        <v>328</v>
      </c>
      <c r="F6" s="188">
        <v>140000</v>
      </c>
      <c r="G6" s="189">
        <f t="shared" si="0"/>
        <v>45920000</v>
      </c>
      <c r="H6" s="171" t="s">
        <v>127</v>
      </c>
    </row>
    <row r="7" spans="1:18" ht="30" customHeight="1" x14ac:dyDescent="0.3">
      <c r="A7" s="295"/>
      <c r="B7" s="279"/>
      <c r="C7" s="162" t="s">
        <v>128</v>
      </c>
      <c r="D7" s="279"/>
      <c r="E7" s="187">
        <v>328</v>
      </c>
      <c r="F7" s="188">
        <v>45000</v>
      </c>
      <c r="G7" s="189">
        <f>SUM(E7*F7)</f>
        <v>14760000</v>
      </c>
      <c r="H7" s="171"/>
    </row>
    <row r="8" spans="1:18" ht="30" customHeight="1" x14ac:dyDescent="0.3">
      <c r="A8" s="295"/>
      <c r="B8" s="279"/>
      <c r="C8" s="162" t="s">
        <v>129</v>
      </c>
      <c r="D8" s="279"/>
      <c r="E8" s="187">
        <v>6</v>
      </c>
      <c r="F8" s="188">
        <v>1000000</v>
      </c>
      <c r="G8" s="188">
        <f t="shared" si="0"/>
        <v>6000000</v>
      </c>
      <c r="H8" s="171"/>
    </row>
    <row r="9" spans="1:18" ht="30" customHeight="1" x14ac:dyDescent="0.3">
      <c r="A9" s="295"/>
      <c r="B9" s="280"/>
      <c r="C9" s="163"/>
      <c r="D9" s="280"/>
      <c r="E9" s="183"/>
      <c r="F9" s="164"/>
      <c r="G9" s="163">
        <f t="shared" si="0"/>
        <v>0</v>
      </c>
      <c r="H9" s="171"/>
    </row>
    <row r="10" spans="1:18" ht="30" customHeight="1" x14ac:dyDescent="0.3">
      <c r="A10" s="295"/>
      <c r="B10" s="278" t="s">
        <v>130</v>
      </c>
      <c r="C10" s="302" t="s">
        <v>131</v>
      </c>
      <c r="D10" s="278" t="s">
        <v>275</v>
      </c>
      <c r="E10" s="278">
        <v>328</v>
      </c>
      <c r="F10" s="297">
        <v>100000</v>
      </c>
      <c r="G10" s="297">
        <f t="shared" si="0"/>
        <v>32800000</v>
      </c>
      <c r="H10" s="278"/>
    </row>
    <row r="11" spans="1:18" ht="30" customHeight="1" x14ac:dyDescent="0.3">
      <c r="A11" s="295"/>
      <c r="B11" s="280"/>
      <c r="C11" s="303"/>
      <c r="D11" s="280"/>
      <c r="E11" s="280"/>
      <c r="F11" s="304"/>
      <c r="G11" s="304"/>
      <c r="H11" s="280"/>
      <c r="L11" s="186"/>
    </row>
    <row r="12" spans="1:18" ht="30" customHeight="1" x14ac:dyDescent="0.3">
      <c r="A12" s="295"/>
      <c r="B12" s="278" t="s">
        <v>132</v>
      </c>
      <c r="C12" s="165" t="s">
        <v>133</v>
      </c>
      <c r="D12" s="278" t="s">
        <v>275</v>
      </c>
      <c r="E12" s="278">
        <v>328</v>
      </c>
      <c r="F12" s="297">
        <v>135000</v>
      </c>
      <c r="G12" s="297">
        <f>SUM(E12*F12)</f>
        <v>44280000</v>
      </c>
      <c r="H12" s="278"/>
    </row>
    <row r="13" spans="1:18" ht="30" customHeight="1" x14ac:dyDescent="0.3">
      <c r="A13" s="295"/>
      <c r="B13" s="280"/>
      <c r="C13" s="166" t="s">
        <v>134</v>
      </c>
      <c r="D13" s="280"/>
      <c r="E13" s="280"/>
      <c r="F13" s="298"/>
      <c r="G13" s="298"/>
      <c r="H13" s="280"/>
    </row>
    <row r="14" spans="1:18" ht="30" customHeight="1" x14ac:dyDescent="0.3">
      <c r="A14" s="295"/>
      <c r="B14" s="278" t="s">
        <v>135</v>
      </c>
      <c r="C14" s="167" t="s">
        <v>136</v>
      </c>
      <c r="D14" s="278" t="s">
        <v>275</v>
      </c>
      <c r="E14" s="168"/>
      <c r="F14" s="169"/>
      <c r="G14" s="169">
        <v>3000000</v>
      </c>
      <c r="H14" s="191"/>
      <c r="L14" s="190"/>
    </row>
    <row r="15" spans="1:18" ht="30" customHeight="1" x14ac:dyDescent="0.3">
      <c r="A15" s="295"/>
      <c r="B15" s="279"/>
      <c r="C15" s="170" t="s">
        <v>137</v>
      </c>
      <c r="D15" s="280"/>
      <c r="E15" s="171"/>
      <c r="F15" s="161"/>
      <c r="G15" s="161">
        <v>4000000</v>
      </c>
      <c r="H15" s="172"/>
      <c r="R15" s="5"/>
    </row>
    <row r="16" spans="1:18" ht="30" customHeight="1" x14ac:dyDescent="0.3">
      <c r="A16" s="295"/>
      <c r="B16" s="280"/>
      <c r="C16" s="164"/>
      <c r="D16" s="191"/>
      <c r="E16" s="192"/>
      <c r="F16" s="173"/>
      <c r="G16" s="173">
        <f>SUM(E16*F16)</f>
        <v>0</v>
      </c>
      <c r="H16" s="192"/>
      <c r="R16" s="5"/>
    </row>
    <row r="17" spans="1:12" ht="33" customHeight="1" x14ac:dyDescent="0.3">
      <c r="A17" s="301"/>
      <c r="B17" s="281" t="s">
        <v>138</v>
      </c>
      <c r="C17" s="282"/>
      <c r="D17" s="174"/>
      <c r="E17" s="174"/>
      <c r="F17" s="175"/>
      <c r="G17" s="176">
        <f>SUM(G4:G16)</f>
        <v>323848000</v>
      </c>
      <c r="H17" s="193"/>
    </row>
    <row r="18" spans="1:12" ht="33" customHeight="1" x14ac:dyDescent="0.3">
      <c r="A18" s="289" t="s">
        <v>265</v>
      </c>
      <c r="B18" s="291" t="s">
        <v>265</v>
      </c>
      <c r="C18" s="164" t="s">
        <v>263</v>
      </c>
      <c r="D18" s="196"/>
      <c r="E18" s="191"/>
      <c r="F18" s="184">
        <v>7.0000000000000007E-2</v>
      </c>
      <c r="G18" s="178">
        <v>24800000</v>
      </c>
      <c r="H18" s="196"/>
    </row>
    <row r="19" spans="1:12" ht="33" customHeight="1" x14ac:dyDescent="0.3">
      <c r="A19" s="290"/>
      <c r="B19" s="292"/>
      <c r="C19" s="162" t="s">
        <v>277</v>
      </c>
      <c r="D19" s="197"/>
      <c r="E19" s="171"/>
      <c r="F19" s="161"/>
      <c r="G19" s="161">
        <v>-30000000</v>
      </c>
      <c r="H19" s="197"/>
    </row>
    <row r="20" spans="1:12" ht="30" customHeight="1" x14ac:dyDescent="0.3">
      <c r="A20" s="290"/>
      <c r="B20" s="293"/>
      <c r="C20" s="199" t="s">
        <v>278</v>
      </c>
      <c r="D20" s="198"/>
      <c r="E20" s="200"/>
      <c r="F20" s="201"/>
      <c r="G20" s="201">
        <v>-512800</v>
      </c>
      <c r="H20" s="198"/>
    </row>
    <row r="21" spans="1:12" ht="33" customHeight="1" x14ac:dyDescent="0.3">
      <c r="A21" s="177"/>
      <c r="B21" s="281" t="s">
        <v>264</v>
      </c>
      <c r="C21" s="282"/>
      <c r="D21" s="174"/>
      <c r="E21" s="174"/>
      <c r="F21" s="175"/>
      <c r="G21" s="176">
        <f>SUM(G18+G19)</f>
        <v>-5200000</v>
      </c>
      <c r="H21" s="174"/>
    </row>
    <row r="22" spans="1:12" ht="30" hidden="1" customHeight="1" x14ac:dyDescent="0.3">
      <c r="A22" s="294"/>
      <c r="B22" s="296"/>
      <c r="C22" s="167"/>
      <c r="D22" s="278"/>
      <c r="E22" s="191"/>
      <c r="F22" s="178"/>
      <c r="G22" s="178"/>
      <c r="H22" s="191"/>
    </row>
    <row r="23" spans="1:12" ht="30" hidden="1" customHeight="1" x14ac:dyDescent="0.3">
      <c r="A23" s="295"/>
      <c r="B23" s="279"/>
      <c r="C23" s="162"/>
      <c r="D23" s="279"/>
      <c r="E23" s="171"/>
      <c r="F23" s="161"/>
      <c r="G23" s="161"/>
      <c r="H23" s="162"/>
    </row>
    <row r="24" spans="1:12" ht="30" hidden="1" customHeight="1" x14ac:dyDescent="0.3">
      <c r="A24" s="295"/>
      <c r="B24" s="280"/>
      <c r="C24" s="164"/>
      <c r="D24" s="280"/>
      <c r="E24" s="192"/>
      <c r="F24" s="173"/>
      <c r="G24" s="173"/>
      <c r="H24" s="164"/>
      <c r="L24" s="179"/>
    </row>
    <row r="25" spans="1:12" ht="29.25" hidden="1" customHeight="1" x14ac:dyDescent="0.3">
      <c r="A25" s="295"/>
      <c r="B25" s="281" t="s">
        <v>139</v>
      </c>
      <c r="C25" s="282"/>
      <c r="D25" s="175"/>
      <c r="E25" s="174"/>
      <c r="F25" s="176"/>
      <c r="G25" s="180">
        <f>SUM(G22:G24)</f>
        <v>0</v>
      </c>
      <c r="H25" s="175"/>
    </row>
    <row r="26" spans="1:12" ht="39.75" customHeight="1" x14ac:dyDescent="0.3">
      <c r="A26" s="283" t="s">
        <v>121</v>
      </c>
      <c r="B26" s="284"/>
      <c r="C26" s="285"/>
      <c r="D26" s="286">
        <f>SUM(G17,G21,G25)</f>
        <v>318648000</v>
      </c>
      <c r="E26" s="287"/>
      <c r="F26" s="287"/>
      <c r="G26" s="287"/>
      <c r="H26" s="288"/>
      <c r="L26" s="194">
        <v>336363640</v>
      </c>
    </row>
    <row r="27" spans="1:12" ht="39.75" customHeight="1" x14ac:dyDescent="0.3">
      <c r="A27" s="260" t="s">
        <v>270</v>
      </c>
      <c r="B27" s="261"/>
      <c r="C27" s="262"/>
      <c r="D27" s="263">
        <f>SUM(D26*0.1)</f>
        <v>31864800</v>
      </c>
      <c r="E27" s="264"/>
      <c r="F27" s="264"/>
      <c r="G27" s="264"/>
      <c r="H27" s="265"/>
      <c r="L27" s="194">
        <f>SUM(L26*0.1)</f>
        <v>33636364</v>
      </c>
    </row>
    <row r="28" spans="1:12" ht="39.75" customHeight="1" thickBot="1" x14ac:dyDescent="0.35">
      <c r="A28" s="260" t="s">
        <v>269</v>
      </c>
      <c r="B28" s="261"/>
      <c r="C28" s="262"/>
      <c r="D28" s="263">
        <f>SUM(D26:H27)+G20</f>
        <v>350000000</v>
      </c>
      <c r="E28" s="264"/>
      <c r="F28" s="264"/>
      <c r="G28" s="264"/>
      <c r="H28" s="265"/>
      <c r="L28" s="195">
        <f>SUM(L26:L27)</f>
        <v>370000004</v>
      </c>
    </row>
    <row r="29" spans="1:12" ht="25.5" customHeight="1" x14ac:dyDescent="0.3">
      <c r="A29" s="269" t="s">
        <v>140</v>
      </c>
      <c r="B29" s="270"/>
      <c r="C29" s="270"/>
      <c r="D29" s="270"/>
      <c r="E29" s="270"/>
      <c r="F29" s="270"/>
      <c r="G29" s="270"/>
      <c r="H29" s="271"/>
    </row>
    <row r="30" spans="1:12" ht="25.5" customHeight="1" x14ac:dyDescent="0.3">
      <c r="A30" s="272" t="s">
        <v>88</v>
      </c>
      <c r="B30" s="273"/>
      <c r="C30" s="273"/>
      <c r="D30" s="273"/>
      <c r="E30" s="273"/>
      <c r="F30" s="273"/>
      <c r="G30" s="273"/>
      <c r="H30" s="274"/>
    </row>
    <row r="31" spans="1:12" ht="25.5" customHeight="1" x14ac:dyDescent="0.3">
      <c r="A31" s="275" t="s">
        <v>141</v>
      </c>
      <c r="B31" s="276"/>
      <c r="C31" s="276"/>
      <c r="D31" s="276"/>
      <c r="E31" s="276"/>
      <c r="F31" s="276"/>
      <c r="G31" s="276"/>
      <c r="H31" s="277"/>
    </row>
    <row r="32" spans="1:12" ht="25.5" customHeight="1" x14ac:dyDescent="0.3">
      <c r="A32" s="275" t="s">
        <v>142</v>
      </c>
      <c r="B32" s="276"/>
      <c r="C32" s="276"/>
      <c r="D32" s="276"/>
      <c r="E32" s="276"/>
      <c r="F32" s="276"/>
      <c r="G32" s="276"/>
      <c r="H32" s="277"/>
    </row>
    <row r="33" spans="1:8" ht="25.5" customHeight="1" x14ac:dyDescent="0.3">
      <c r="A33" s="275" t="s">
        <v>143</v>
      </c>
      <c r="B33" s="276"/>
      <c r="C33" s="276"/>
      <c r="D33" s="276"/>
      <c r="E33" s="276"/>
      <c r="F33" s="276"/>
      <c r="G33" s="276"/>
      <c r="H33" s="277"/>
    </row>
    <row r="34" spans="1:8" ht="25.5" customHeight="1" x14ac:dyDescent="0.3">
      <c r="A34" s="275" t="s">
        <v>281</v>
      </c>
      <c r="B34" s="276"/>
      <c r="C34" s="276"/>
      <c r="D34" s="276"/>
      <c r="E34" s="276"/>
      <c r="F34" s="276"/>
      <c r="G34" s="276"/>
      <c r="H34" s="277"/>
    </row>
    <row r="35" spans="1:8" ht="25.5" customHeight="1" thickBot="1" x14ac:dyDescent="0.35">
      <c r="A35" s="266">
        <v>6</v>
      </c>
      <c r="B35" s="267"/>
      <c r="C35" s="267"/>
      <c r="D35" s="267"/>
      <c r="E35" s="267"/>
      <c r="F35" s="267"/>
      <c r="G35" s="267"/>
      <c r="H35" s="268"/>
    </row>
  </sheetData>
  <mergeCells count="41">
    <mergeCell ref="A1:H1"/>
    <mergeCell ref="A2:H2"/>
    <mergeCell ref="A4:A17"/>
    <mergeCell ref="B4:B9"/>
    <mergeCell ref="D4:D9"/>
    <mergeCell ref="B10:B11"/>
    <mergeCell ref="C10:C11"/>
    <mergeCell ref="D10:D11"/>
    <mergeCell ref="E10:E11"/>
    <mergeCell ref="F10:F11"/>
    <mergeCell ref="G10:G11"/>
    <mergeCell ref="H10:H11"/>
    <mergeCell ref="B12:B13"/>
    <mergeCell ref="D12:D13"/>
    <mergeCell ref="E12:E13"/>
    <mergeCell ref="F12:F13"/>
    <mergeCell ref="G12:G13"/>
    <mergeCell ref="H12:H13"/>
    <mergeCell ref="B14:B16"/>
    <mergeCell ref="D14:D15"/>
    <mergeCell ref="B17:C17"/>
    <mergeCell ref="A18:A20"/>
    <mergeCell ref="B18:B20"/>
    <mergeCell ref="B21:C21"/>
    <mergeCell ref="A22:A25"/>
    <mergeCell ref="B22:B24"/>
    <mergeCell ref="D22:D24"/>
    <mergeCell ref="B25:C25"/>
    <mergeCell ref="A26:C26"/>
    <mergeCell ref="D26:H26"/>
    <mergeCell ref="A27:C27"/>
    <mergeCell ref="D27:H27"/>
    <mergeCell ref="A28:C28"/>
    <mergeCell ref="D28:H28"/>
    <mergeCell ref="A35:H35"/>
    <mergeCell ref="A29:H29"/>
    <mergeCell ref="A30:H30"/>
    <mergeCell ref="A31:H31"/>
    <mergeCell ref="A32:H32"/>
    <mergeCell ref="A33:H33"/>
    <mergeCell ref="A34:H34"/>
  </mergeCells>
  <phoneticPr fontId="4" type="noConversion"/>
  <pageMargins left="0.7" right="0.7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opLeftCell="A10" zoomScale="115" zoomScaleNormal="115" workbookViewId="0">
      <selection activeCell="AL6" sqref="AL6"/>
    </sheetView>
  </sheetViews>
  <sheetFormatPr defaultRowHeight="16.5" x14ac:dyDescent="0.3"/>
  <cols>
    <col min="1" max="36" width="2.875" customWidth="1"/>
  </cols>
  <sheetData>
    <row r="1" spans="1:36" ht="20.25" x14ac:dyDescent="0.3">
      <c r="A1" s="391" t="s">
        <v>145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</row>
    <row r="2" spans="1:36" x14ac:dyDescent="0.3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</row>
    <row r="3" spans="1:36" x14ac:dyDescent="0.3">
      <c r="A3" s="314" t="s">
        <v>146</v>
      </c>
      <c r="B3" s="314"/>
      <c r="C3" s="314"/>
      <c r="D3" s="314"/>
      <c r="E3" s="314" t="s">
        <v>256</v>
      </c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182"/>
      <c r="R3" s="182"/>
      <c r="S3" s="182"/>
      <c r="T3" s="182"/>
      <c r="U3" s="314" t="s">
        <v>146</v>
      </c>
      <c r="V3" s="314"/>
      <c r="W3" s="314"/>
      <c r="X3" s="314"/>
      <c r="Y3" s="314" t="s">
        <v>258</v>
      </c>
      <c r="Z3" s="314"/>
      <c r="AA3" s="314"/>
      <c r="AB3" s="314"/>
      <c r="AC3" s="314"/>
      <c r="AD3" s="314"/>
      <c r="AE3" s="314"/>
      <c r="AF3" s="314"/>
      <c r="AG3" s="314"/>
      <c r="AH3" s="314"/>
      <c r="AI3" s="314"/>
      <c r="AJ3" s="314"/>
    </row>
    <row r="4" spans="1:36" x14ac:dyDescent="0.3">
      <c r="A4" s="314" t="s">
        <v>147</v>
      </c>
      <c r="B4" s="314"/>
      <c r="C4" s="314"/>
      <c r="D4" s="314"/>
      <c r="E4" s="314" t="s">
        <v>257</v>
      </c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182"/>
      <c r="R4" s="182"/>
      <c r="S4" s="182"/>
      <c r="T4" s="182"/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314"/>
      <c r="AG4" s="314"/>
      <c r="AH4" s="314"/>
      <c r="AI4" s="314"/>
      <c r="AJ4" s="314"/>
    </row>
    <row r="5" spans="1:36" x14ac:dyDescent="0.3">
      <c r="A5" s="314" t="s">
        <v>148</v>
      </c>
      <c r="B5" s="314"/>
      <c r="C5" s="314"/>
      <c r="D5" s="314"/>
      <c r="E5" s="314" t="s">
        <v>149</v>
      </c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182"/>
      <c r="R5" s="182"/>
      <c r="S5" s="182"/>
      <c r="T5" s="182"/>
      <c r="U5" s="314" t="s">
        <v>150</v>
      </c>
      <c r="V5" s="314"/>
      <c r="W5" s="314"/>
      <c r="X5" s="314"/>
      <c r="Y5" s="389" t="s">
        <v>259</v>
      </c>
      <c r="Z5" s="314"/>
      <c r="AA5" s="314"/>
      <c r="AB5" s="314"/>
      <c r="AC5" s="314"/>
      <c r="AD5" s="314"/>
      <c r="AE5" s="314"/>
      <c r="AF5" s="314"/>
      <c r="AG5" s="314"/>
      <c r="AH5" s="314"/>
      <c r="AI5" s="314"/>
      <c r="AJ5" s="314"/>
    </row>
    <row r="6" spans="1:36" x14ac:dyDescent="0.3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390" t="s">
        <v>151</v>
      </c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182"/>
      <c r="AB6" s="182"/>
      <c r="AC6" s="182"/>
      <c r="AD6" s="182"/>
      <c r="AE6" s="182"/>
      <c r="AF6" s="182"/>
      <c r="AG6" s="182"/>
      <c r="AH6" s="182"/>
      <c r="AI6" s="182"/>
      <c r="AJ6" s="182"/>
    </row>
    <row r="7" spans="1:36" x14ac:dyDescent="0.3">
      <c r="A7" s="314" t="s">
        <v>152</v>
      </c>
      <c r="B7" s="314"/>
      <c r="C7" s="314"/>
      <c r="D7" s="314"/>
      <c r="E7" s="374" t="s">
        <v>153</v>
      </c>
      <c r="F7" s="375"/>
      <c r="G7" s="375"/>
      <c r="H7" s="376"/>
      <c r="I7" s="374" t="s">
        <v>248</v>
      </c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6"/>
      <c r="U7" s="314" t="s">
        <v>154</v>
      </c>
      <c r="V7" s="314"/>
      <c r="W7" s="314"/>
      <c r="X7" s="314"/>
      <c r="Y7" s="314" t="s">
        <v>155</v>
      </c>
      <c r="Z7" s="314"/>
      <c r="AA7" s="314"/>
      <c r="AB7" s="314"/>
      <c r="AC7" s="314"/>
      <c r="AD7" s="314"/>
      <c r="AE7" s="314"/>
      <c r="AF7" s="314"/>
      <c r="AG7" s="314"/>
      <c r="AH7" s="314"/>
      <c r="AI7" s="314"/>
      <c r="AJ7" s="314"/>
    </row>
    <row r="8" spans="1:36" x14ac:dyDescent="0.3">
      <c r="A8" s="374" t="s">
        <v>156</v>
      </c>
      <c r="B8" s="375"/>
      <c r="C8" s="375"/>
      <c r="D8" s="376"/>
      <c r="E8" s="374" t="s">
        <v>157</v>
      </c>
      <c r="F8" s="375"/>
      <c r="G8" s="375"/>
      <c r="H8" s="376"/>
      <c r="I8" s="374" t="s">
        <v>249</v>
      </c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6"/>
      <c r="U8" s="374" t="s">
        <v>158</v>
      </c>
      <c r="V8" s="375"/>
      <c r="W8" s="375"/>
      <c r="X8" s="376"/>
      <c r="Y8" s="388">
        <v>370000000</v>
      </c>
      <c r="Z8" s="375"/>
      <c r="AA8" s="375"/>
      <c r="AB8" s="375"/>
      <c r="AC8" s="375"/>
      <c r="AD8" s="375"/>
      <c r="AE8" s="375"/>
      <c r="AF8" s="376"/>
      <c r="AG8" s="374" t="s">
        <v>250</v>
      </c>
      <c r="AH8" s="375"/>
      <c r="AI8" s="375"/>
      <c r="AJ8" s="376"/>
    </row>
    <row r="9" spans="1:36" x14ac:dyDescent="0.3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</row>
    <row r="10" spans="1:36" x14ac:dyDescent="0.3">
      <c r="A10" s="387" t="s">
        <v>159</v>
      </c>
      <c r="B10" s="360"/>
      <c r="C10" s="360" t="s">
        <v>160</v>
      </c>
      <c r="D10" s="360"/>
      <c r="E10" s="360" t="s">
        <v>161</v>
      </c>
      <c r="F10" s="360"/>
      <c r="G10" s="360"/>
      <c r="H10" s="360" t="s">
        <v>162</v>
      </c>
      <c r="I10" s="360"/>
      <c r="J10" s="360"/>
      <c r="K10" s="360"/>
      <c r="L10" s="360"/>
      <c r="M10" s="360"/>
      <c r="N10" s="360"/>
      <c r="O10" s="360"/>
      <c r="P10" s="360" t="s">
        <v>163</v>
      </c>
      <c r="Q10" s="360"/>
      <c r="R10" s="360" t="s">
        <v>164</v>
      </c>
      <c r="S10" s="360"/>
      <c r="T10" s="360"/>
      <c r="U10" s="360" t="s">
        <v>165</v>
      </c>
      <c r="V10" s="360"/>
      <c r="W10" s="360"/>
      <c r="X10" s="360"/>
      <c r="Y10" s="360" t="s">
        <v>166</v>
      </c>
      <c r="Z10" s="360"/>
      <c r="AA10" s="360"/>
      <c r="AB10" s="360"/>
      <c r="AC10" s="360"/>
      <c r="AD10" s="360" t="s">
        <v>167</v>
      </c>
      <c r="AE10" s="360"/>
      <c r="AF10" s="360"/>
      <c r="AG10" s="360"/>
      <c r="AH10" s="360"/>
      <c r="AI10" s="360"/>
      <c r="AJ10" s="386"/>
    </row>
    <row r="11" spans="1:36" x14ac:dyDescent="0.3">
      <c r="A11" s="367" t="s">
        <v>168</v>
      </c>
      <c r="B11" s="368"/>
      <c r="C11" s="314" t="s">
        <v>169</v>
      </c>
      <c r="D11" s="314"/>
      <c r="E11" s="315" t="s">
        <v>170</v>
      </c>
      <c r="F11" s="315"/>
      <c r="G11" s="315"/>
      <c r="H11" s="314" t="s">
        <v>251</v>
      </c>
      <c r="I11" s="314"/>
      <c r="J11" s="314"/>
      <c r="K11" s="314"/>
      <c r="L11" s="314"/>
      <c r="M11" s="314"/>
      <c r="N11" s="314"/>
      <c r="O11" s="314"/>
      <c r="P11" s="350" t="s">
        <v>171</v>
      </c>
      <c r="Q11" s="350"/>
      <c r="R11" s="353">
        <v>521</v>
      </c>
      <c r="S11" s="353"/>
      <c r="T11" s="353"/>
      <c r="U11" s="353">
        <v>271400</v>
      </c>
      <c r="V11" s="353"/>
      <c r="W11" s="353"/>
      <c r="X11" s="353"/>
      <c r="Y11" s="353">
        <f>+R11*U11</f>
        <v>141399400</v>
      </c>
      <c r="Z11" s="353"/>
      <c r="AA11" s="353"/>
      <c r="AB11" s="353"/>
      <c r="AC11" s="353"/>
      <c r="AD11" s="377" t="s">
        <v>172</v>
      </c>
      <c r="AE11" s="378"/>
      <c r="AF11" s="378"/>
      <c r="AG11" s="378"/>
      <c r="AH11" s="378"/>
      <c r="AI11" s="378"/>
      <c r="AJ11" s="379"/>
    </row>
    <row r="12" spans="1:36" x14ac:dyDescent="0.3">
      <c r="A12" s="369"/>
      <c r="B12" s="370"/>
      <c r="C12" s="314"/>
      <c r="D12" s="314"/>
      <c r="E12" s="315" t="s">
        <v>173</v>
      </c>
      <c r="F12" s="315"/>
      <c r="G12" s="315"/>
      <c r="H12" s="314" t="s">
        <v>253</v>
      </c>
      <c r="I12" s="314"/>
      <c r="J12" s="314"/>
      <c r="K12" s="314"/>
      <c r="L12" s="314"/>
      <c r="M12" s="314"/>
      <c r="N12" s="314"/>
      <c r="O12" s="314"/>
      <c r="P12" s="350"/>
      <c r="Q12" s="350"/>
      <c r="R12" s="353"/>
      <c r="S12" s="353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80"/>
      <c r="AE12" s="381"/>
      <c r="AF12" s="381"/>
      <c r="AG12" s="381"/>
      <c r="AH12" s="381"/>
      <c r="AI12" s="381"/>
      <c r="AJ12" s="382"/>
    </row>
    <row r="13" spans="1:36" x14ac:dyDescent="0.3">
      <c r="A13" s="369"/>
      <c r="B13" s="370"/>
      <c r="C13" s="314"/>
      <c r="D13" s="314"/>
      <c r="E13" s="315" t="s">
        <v>174</v>
      </c>
      <c r="F13" s="315"/>
      <c r="G13" s="315"/>
      <c r="H13" s="314" t="s">
        <v>252</v>
      </c>
      <c r="I13" s="314"/>
      <c r="J13" s="314"/>
      <c r="K13" s="314"/>
      <c r="L13" s="314"/>
      <c r="M13" s="314"/>
      <c r="N13" s="314"/>
      <c r="O13" s="314"/>
      <c r="P13" s="350"/>
      <c r="Q13" s="350"/>
      <c r="R13" s="353"/>
      <c r="S13" s="353"/>
      <c r="T13" s="353"/>
      <c r="U13" s="353"/>
      <c r="V13" s="353"/>
      <c r="W13" s="353"/>
      <c r="X13" s="353"/>
      <c r="Y13" s="353"/>
      <c r="Z13" s="353"/>
      <c r="AA13" s="353"/>
      <c r="AB13" s="353"/>
      <c r="AC13" s="353"/>
      <c r="AD13" s="380"/>
      <c r="AE13" s="381"/>
      <c r="AF13" s="381"/>
      <c r="AG13" s="381"/>
      <c r="AH13" s="381"/>
      <c r="AI13" s="381"/>
      <c r="AJ13" s="382"/>
    </row>
    <row r="14" spans="1:36" x14ac:dyDescent="0.3">
      <c r="A14" s="369"/>
      <c r="B14" s="370"/>
      <c r="C14" s="314"/>
      <c r="D14" s="314"/>
      <c r="E14" s="315" t="s">
        <v>175</v>
      </c>
      <c r="F14" s="315"/>
      <c r="G14" s="315"/>
      <c r="H14" s="314" t="s">
        <v>260</v>
      </c>
      <c r="I14" s="314"/>
      <c r="J14" s="314"/>
      <c r="K14" s="314"/>
      <c r="L14" s="314"/>
      <c r="M14" s="314"/>
      <c r="N14" s="314"/>
      <c r="O14" s="314"/>
      <c r="P14" s="350"/>
      <c r="Q14" s="350"/>
      <c r="R14" s="353"/>
      <c r="S14" s="353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80"/>
      <c r="AE14" s="381"/>
      <c r="AF14" s="381"/>
      <c r="AG14" s="381"/>
      <c r="AH14" s="381"/>
      <c r="AI14" s="381"/>
      <c r="AJ14" s="382"/>
    </row>
    <row r="15" spans="1:36" x14ac:dyDescent="0.3">
      <c r="A15" s="369"/>
      <c r="B15" s="370"/>
      <c r="C15" s="314"/>
      <c r="D15" s="314"/>
      <c r="E15" s="315" t="s">
        <v>176</v>
      </c>
      <c r="F15" s="315"/>
      <c r="G15" s="315"/>
      <c r="H15" s="314"/>
      <c r="I15" s="314"/>
      <c r="J15" s="314"/>
      <c r="K15" s="314"/>
      <c r="L15" s="314"/>
      <c r="M15" s="314"/>
      <c r="N15" s="314"/>
      <c r="O15" s="314"/>
      <c r="P15" s="350"/>
      <c r="Q15" s="350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80"/>
      <c r="AE15" s="381"/>
      <c r="AF15" s="381"/>
      <c r="AG15" s="381"/>
      <c r="AH15" s="381"/>
      <c r="AI15" s="381"/>
      <c r="AJ15" s="382"/>
    </row>
    <row r="16" spans="1:36" x14ac:dyDescent="0.3">
      <c r="A16" s="369"/>
      <c r="B16" s="370"/>
      <c r="C16" s="314"/>
      <c r="D16" s="314"/>
      <c r="E16" s="315" t="s">
        <v>177</v>
      </c>
      <c r="F16" s="315"/>
      <c r="G16" s="315"/>
      <c r="H16" s="314"/>
      <c r="I16" s="314"/>
      <c r="J16" s="314"/>
      <c r="K16" s="314"/>
      <c r="L16" s="314"/>
      <c r="M16" s="314"/>
      <c r="N16" s="314"/>
      <c r="O16" s="314"/>
      <c r="P16" s="350"/>
      <c r="Q16" s="350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80"/>
      <c r="AE16" s="381"/>
      <c r="AF16" s="381"/>
      <c r="AG16" s="381"/>
      <c r="AH16" s="381"/>
      <c r="AI16" s="381"/>
      <c r="AJ16" s="382"/>
    </row>
    <row r="17" spans="1:36" x14ac:dyDescent="0.3">
      <c r="A17" s="369"/>
      <c r="B17" s="370"/>
      <c r="C17" s="314"/>
      <c r="D17" s="314"/>
      <c r="E17" s="315" t="s">
        <v>177</v>
      </c>
      <c r="F17" s="315"/>
      <c r="G17" s="315"/>
      <c r="H17" s="314"/>
      <c r="I17" s="314"/>
      <c r="J17" s="314"/>
      <c r="K17" s="314"/>
      <c r="L17" s="314"/>
      <c r="M17" s="314"/>
      <c r="N17" s="314"/>
      <c r="O17" s="314"/>
      <c r="P17" s="350"/>
      <c r="Q17" s="350"/>
      <c r="R17" s="353"/>
      <c r="S17" s="353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83"/>
      <c r="AE17" s="384"/>
      <c r="AF17" s="384"/>
      <c r="AG17" s="384"/>
      <c r="AH17" s="384"/>
      <c r="AI17" s="384"/>
      <c r="AJ17" s="385"/>
    </row>
    <row r="18" spans="1:36" x14ac:dyDescent="0.3">
      <c r="A18" s="369"/>
      <c r="B18" s="370"/>
      <c r="C18" s="314" t="s">
        <v>178</v>
      </c>
      <c r="D18" s="314"/>
      <c r="E18" s="315" t="s">
        <v>170</v>
      </c>
      <c r="F18" s="315"/>
      <c r="G18" s="315"/>
      <c r="H18" s="314" t="s">
        <v>254</v>
      </c>
      <c r="I18" s="314"/>
      <c r="J18" s="314"/>
      <c r="K18" s="314"/>
      <c r="L18" s="314"/>
      <c r="M18" s="314"/>
      <c r="N18" s="314"/>
      <c r="O18" s="314"/>
      <c r="P18" s="350" t="s">
        <v>179</v>
      </c>
      <c r="Q18" s="350"/>
      <c r="R18" s="353">
        <v>6</v>
      </c>
      <c r="S18" s="353"/>
      <c r="T18" s="353"/>
      <c r="U18" s="353">
        <v>5000000</v>
      </c>
      <c r="V18" s="353"/>
      <c r="W18" s="353"/>
      <c r="X18" s="353"/>
      <c r="Y18" s="353">
        <f>R18*U18</f>
        <v>30000000</v>
      </c>
      <c r="Z18" s="353"/>
      <c r="AA18" s="353"/>
      <c r="AB18" s="353"/>
      <c r="AC18" s="353"/>
      <c r="AD18" s="377" t="s">
        <v>180</v>
      </c>
      <c r="AE18" s="378"/>
      <c r="AF18" s="378"/>
      <c r="AG18" s="378"/>
      <c r="AH18" s="378"/>
      <c r="AI18" s="378"/>
      <c r="AJ18" s="379"/>
    </row>
    <row r="19" spans="1:36" x14ac:dyDescent="0.3">
      <c r="A19" s="369"/>
      <c r="B19" s="370"/>
      <c r="C19" s="314"/>
      <c r="D19" s="314"/>
      <c r="E19" s="315" t="s">
        <v>181</v>
      </c>
      <c r="F19" s="315"/>
      <c r="G19" s="315"/>
      <c r="H19" s="314"/>
      <c r="I19" s="314"/>
      <c r="J19" s="314"/>
      <c r="K19" s="314"/>
      <c r="L19" s="314"/>
      <c r="M19" s="314"/>
      <c r="N19" s="314"/>
      <c r="O19" s="314"/>
      <c r="P19" s="350"/>
      <c r="Q19" s="350"/>
      <c r="R19" s="353"/>
      <c r="S19" s="353"/>
      <c r="T19" s="353"/>
      <c r="U19" s="353"/>
      <c r="V19" s="353"/>
      <c r="W19" s="353"/>
      <c r="X19" s="353"/>
      <c r="Y19" s="353"/>
      <c r="Z19" s="353"/>
      <c r="AA19" s="353"/>
      <c r="AB19" s="353"/>
      <c r="AC19" s="353"/>
      <c r="AD19" s="380"/>
      <c r="AE19" s="381"/>
      <c r="AF19" s="381"/>
      <c r="AG19" s="381"/>
      <c r="AH19" s="381"/>
      <c r="AI19" s="381"/>
      <c r="AJ19" s="382"/>
    </row>
    <row r="20" spans="1:36" x14ac:dyDescent="0.3">
      <c r="A20" s="369"/>
      <c r="B20" s="370"/>
      <c r="C20" s="314"/>
      <c r="D20" s="314"/>
      <c r="E20" s="315" t="s">
        <v>182</v>
      </c>
      <c r="F20" s="315"/>
      <c r="G20" s="315"/>
      <c r="H20" s="314" t="s">
        <v>253</v>
      </c>
      <c r="I20" s="314"/>
      <c r="J20" s="314"/>
      <c r="K20" s="314"/>
      <c r="L20" s="314"/>
      <c r="M20" s="314"/>
      <c r="N20" s="314"/>
      <c r="O20" s="314"/>
      <c r="P20" s="350"/>
      <c r="Q20" s="350"/>
      <c r="R20" s="353"/>
      <c r="S20" s="353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80"/>
      <c r="AE20" s="381"/>
      <c r="AF20" s="381"/>
      <c r="AG20" s="381"/>
      <c r="AH20" s="381"/>
      <c r="AI20" s="381"/>
      <c r="AJ20" s="382"/>
    </row>
    <row r="21" spans="1:36" x14ac:dyDescent="0.3">
      <c r="A21" s="369"/>
      <c r="B21" s="370"/>
      <c r="C21" s="314"/>
      <c r="D21" s="314"/>
      <c r="E21" s="315" t="s">
        <v>175</v>
      </c>
      <c r="F21" s="315"/>
      <c r="G21" s="315"/>
      <c r="H21" s="314" t="s">
        <v>255</v>
      </c>
      <c r="I21" s="314"/>
      <c r="J21" s="314"/>
      <c r="K21" s="314"/>
      <c r="L21" s="314"/>
      <c r="M21" s="314"/>
      <c r="N21" s="314"/>
      <c r="O21" s="314"/>
      <c r="P21" s="350"/>
      <c r="Q21" s="350"/>
      <c r="R21" s="353"/>
      <c r="S21" s="353"/>
      <c r="T21" s="353"/>
      <c r="U21" s="353"/>
      <c r="V21" s="353"/>
      <c r="W21" s="353"/>
      <c r="X21" s="353"/>
      <c r="Y21" s="353"/>
      <c r="Z21" s="353"/>
      <c r="AA21" s="353"/>
      <c r="AB21" s="353"/>
      <c r="AC21" s="353"/>
      <c r="AD21" s="380"/>
      <c r="AE21" s="381"/>
      <c r="AF21" s="381"/>
      <c r="AG21" s="381"/>
      <c r="AH21" s="381"/>
      <c r="AI21" s="381"/>
      <c r="AJ21" s="382"/>
    </row>
    <row r="22" spans="1:36" x14ac:dyDescent="0.3">
      <c r="A22" s="369"/>
      <c r="B22" s="370"/>
      <c r="C22" s="314"/>
      <c r="D22" s="314"/>
      <c r="E22" s="315" t="s">
        <v>183</v>
      </c>
      <c r="F22" s="315"/>
      <c r="G22" s="315"/>
      <c r="H22" s="314"/>
      <c r="I22" s="314"/>
      <c r="J22" s="314"/>
      <c r="K22" s="314"/>
      <c r="L22" s="314"/>
      <c r="M22" s="314"/>
      <c r="N22" s="314"/>
      <c r="O22" s="314"/>
      <c r="P22" s="350"/>
      <c r="Q22" s="350"/>
      <c r="R22" s="353"/>
      <c r="S22" s="353"/>
      <c r="T22" s="353"/>
      <c r="U22" s="353"/>
      <c r="V22" s="353"/>
      <c r="W22" s="353"/>
      <c r="X22" s="353"/>
      <c r="Y22" s="353"/>
      <c r="Z22" s="353"/>
      <c r="AA22" s="353"/>
      <c r="AB22" s="353"/>
      <c r="AC22" s="353"/>
      <c r="AD22" s="380"/>
      <c r="AE22" s="381"/>
      <c r="AF22" s="381"/>
      <c r="AG22" s="381"/>
      <c r="AH22" s="381"/>
      <c r="AI22" s="381"/>
      <c r="AJ22" s="382"/>
    </row>
    <row r="23" spans="1:36" x14ac:dyDescent="0.3">
      <c r="A23" s="369"/>
      <c r="B23" s="370"/>
      <c r="C23" s="314"/>
      <c r="D23" s="314"/>
      <c r="E23" s="315" t="s">
        <v>184</v>
      </c>
      <c r="F23" s="315"/>
      <c r="G23" s="315"/>
      <c r="H23" s="314"/>
      <c r="I23" s="314"/>
      <c r="J23" s="314"/>
      <c r="K23" s="314"/>
      <c r="L23" s="314"/>
      <c r="M23" s="314"/>
      <c r="N23" s="314"/>
      <c r="O23" s="314"/>
      <c r="P23" s="350"/>
      <c r="Q23" s="350"/>
      <c r="R23" s="353"/>
      <c r="S23" s="353"/>
      <c r="T23" s="353"/>
      <c r="U23" s="353"/>
      <c r="V23" s="353"/>
      <c r="W23" s="353"/>
      <c r="X23" s="353"/>
      <c r="Y23" s="353"/>
      <c r="Z23" s="353"/>
      <c r="AA23" s="353"/>
      <c r="AB23" s="353"/>
      <c r="AC23" s="353"/>
      <c r="AD23" s="383"/>
      <c r="AE23" s="384"/>
      <c r="AF23" s="384"/>
      <c r="AG23" s="384"/>
      <c r="AH23" s="384"/>
      <c r="AI23" s="384"/>
      <c r="AJ23" s="385"/>
    </row>
    <row r="24" spans="1:36" x14ac:dyDescent="0.3">
      <c r="A24" s="369"/>
      <c r="B24" s="370"/>
      <c r="C24" s="314" t="s">
        <v>185</v>
      </c>
      <c r="D24" s="314"/>
      <c r="E24" s="314" t="s">
        <v>186</v>
      </c>
      <c r="F24" s="314"/>
      <c r="G24" s="314"/>
      <c r="H24" s="314" t="s">
        <v>187</v>
      </c>
      <c r="I24" s="314"/>
      <c r="J24" s="314"/>
      <c r="K24" s="314"/>
      <c r="L24" s="314"/>
      <c r="M24" s="314"/>
      <c r="N24" s="314"/>
      <c r="O24" s="314"/>
      <c r="P24" s="350" t="s">
        <v>261</v>
      </c>
      <c r="Q24" s="350"/>
      <c r="R24" s="353">
        <v>307</v>
      </c>
      <c r="S24" s="353"/>
      <c r="T24" s="353"/>
      <c r="U24" s="353">
        <v>180000</v>
      </c>
      <c r="V24" s="353"/>
      <c r="W24" s="353"/>
      <c r="X24" s="353"/>
      <c r="Y24" s="353">
        <f>R24*U24</f>
        <v>55260000</v>
      </c>
      <c r="Z24" s="353"/>
      <c r="AA24" s="353"/>
      <c r="AB24" s="353"/>
      <c r="AC24" s="353"/>
      <c r="AD24" s="377" t="s">
        <v>188</v>
      </c>
      <c r="AE24" s="378"/>
      <c r="AF24" s="378"/>
      <c r="AG24" s="378"/>
      <c r="AH24" s="378"/>
      <c r="AI24" s="378"/>
      <c r="AJ24" s="379"/>
    </row>
    <row r="25" spans="1:36" x14ac:dyDescent="0.3">
      <c r="A25" s="369"/>
      <c r="B25" s="370"/>
      <c r="C25" s="314"/>
      <c r="D25" s="314"/>
      <c r="E25" s="314" t="s">
        <v>189</v>
      </c>
      <c r="F25" s="314"/>
      <c r="G25" s="314"/>
      <c r="H25" s="314" t="s">
        <v>190</v>
      </c>
      <c r="I25" s="314"/>
      <c r="J25" s="314"/>
      <c r="K25" s="314"/>
      <c r="L25" s="314"/>
      <c r="M25" s="314"/>
      <c r="N25" s="314"/>
      <c r="O25" s="314"/>
      <c r="P25" s="350"/>
      <c r="Q25" s="350"/>
      <c r="R25" s="353"/>
      <c r="S25" s="353"/>
      <c r="T25" s="353"/>
      <c r="U25" s="353"/>
      <c r="V25" s="353"/>
      <c r="W25" s="353"/>
      <c r="X25" s="353"/>
      <c r="Y25" s="353"/>
      <c r="Z25" s="353"/>
      <c r="AA25" s="353"/>
      <c r="AB25" s="353"/>
      <c r="AC25" s="353"/>
      <c r="AD25" s="380"/>
      <c r="AE25" s="381"/>
      <c r="AF25" s="381"/>
      <c r="AG25" s="381"/>
      <c r="AH25" s="381"/>
      <c r="AI25" s="381"/>
      <c r="AJ25" s="382"/>
    </row>
    <row r="26" spans="1:36" x14ac:dyDescent="0.3">
      <c r="A26" s="369"/>
      <c r="B26" s="370"/>
      <c r="C26" s="314"/>
      <c r="D26" s="314"/>
      <c r="E26" s="314" t="s">
        <v>191</v>
      </c>
      <c r="F26" s="314"/>
      <c r="G26" s="314"/>
      <c r="H26" s="314"/>
      <c r="I26" s="314"/>
      <c r="J26" s="314"/>
      <c r="K26" s="314"/>
      <c r="L26" s="314"/>
      <c r="M26" s="314"/>
      <c r="N26" s="314"/>
      <c r="O26" s="314"/>
      <c r="P26" s="350"/>
      <c r="Q26" s="350"/>
      <c r="R26" s="353"/>
      <c r="S26" s="353"/>
      <c r="T26" s="353"/>
      <c r="U26" s="353"/>
      <c r="V26" s="353"/>
      <c r="W26" s="353"/>
      <c r="X26" s="353"/>
      <c r="Y26" s="353"/>
      <c r="Z26" s="353"/>
      <c r="AA26" s="353"/>
      <c r="AB26" s="353"/>
      <c r="AC26" s="353"/>
      <c r="AD26" s="383"/>
      <c r="AE26" s="384"/>
      <c r="AF26" s="384"/>
      <c r="AG26" s="384"/>
      <c r="AH26" s="384"/>
      <c r="AI26" s="384"/>
      <c r="AJ26" s="385"/>
    </row>
    <row r="27" spans="1:36" x14ac:dyDescent="0.3">
      <c r="A27" s="369"/>
      <c r="B27" s="370"/>
      <c r="C27" s="315" t="s">
        <v>192</v>
      </c>
      <c r="D27" s="315"/>
      <c r="E27" s="315"/>
      <c r="F27" s="315"/>
      <c r="G27" s="315"/>
      <c r="H27" s="374"/>
      <c r="I27" s="375"/>
      <c r="J27" s="375"/>
      <c r="K27" s="375"/>
      <c r="L27" s="375"/>
      <c r="M27" s="375"/>
      <c r="N27" s="375"/>
      <c r="O27" s="376"/>
      <c r="P27" s="350"/>
      <c r="Q27" s="350"/>
      <c r="R27" s="353">
        <v>2</v>
      </c>
      <c r="S27" s="353"/>
      <c r="T27" s="353"/>
      <c r="U27" s="353">
        <v>3500000</v>
      </c>
      <c r="V27" s="353"/>
      <c r="W27" s="353"/>
      <c r="X27" s="353"/>
      <c r="Y27" s="353">
        <f>R27*U27</f>
        <v>7000000</v>
      </c>
      <c r="Z27" s="353"/>
      <c r="AA27" s="353"/>
      <c r="AB27" s="353"/>
      <c r="AC27" s="353"/>
      <c r="AD27" s="315"/>
      <c r="AE27" s="315"/>
      <c r="AF27" s="315"/>
      <c r="AG27" s="315"/>
      <c r="AH27" s="315"/>
      <c r="AI27" s="315"/>
      <c r="AJ27" s="315"/>
    </row>
    <row r="28" spans="1:36" x14ac:dyDescent="0.3">
      <c r="A28" s="369"/>
      <c r="B28" s="370"/>
      <c r="C28" s="315" t="s">
        <v>193</v>
      </c>
      <c r="D28" s="315"/>
      <c r="E28" s="315"/>
      <c r="F28" s="315"/>
      <c r="G28" s="315"/>
      <c r="H28" s="374"/>
      <c r="I28" s="375"/>
      <c r="J28" s="375"/>
      <c r="K28" s="375"/>
      <c r="L28" s="375"/>
      <c r="M28" s="375"/>
      <c r="N28" s="375"/>
      <c r="O28" s="376"/>
      <c r="P28" s="350" t="s">
        <v>171</v>
      </c>
      <c r="Q28" s="350"/>
      <c r="R28" s="353">
        <v>6</v>
      </c>
      <c r="S28" s="353"/>
      <c r="T28" s="353"/>
      <c r="U28" s="353">
        <v>1500000</v>
      </c>
      <c r="V28" s="353"/>
      <c r="W28" s="353"/>
      <c r="X28" s="353"/>
      <c r="Y28" s="353">
        <f>U28*R28</f>
        <v>9000000</v>
      </c>
      <c r="Z28" s="353"/>
      <c r="AA28" s="353"/>
      <c r="AB28" s="353"/>
      <c r="AC28" s="353"/>
      <c r="AD28" s="315"/>
      <c r="AE28" s="315"/>
      <c r="AF28" s="315"/>
      <c r="AG28" s="315"/>
      <c r="AH28" s="315"/>
      <c r="AI28" s="315"/>
      <c r="AJ28" s="315"/>
    </row>
    <row r="29" spans="1:36" x14ac:dyDescent="0.3">
      <c r="A29" s="369"/>
      <c r="B29" s="370"/>
      <c r="C29" s="315" t="s">
        <v>194</v>
      </c>
      <c r="D29" s="315"/>
      <c r="E29" s="315"/>
      <c r="F29" s="315"/>
      <c r="G29" s="315"/>
      <c r="H29" s="374"/>
      <c r="I29" s="375"/>
      <c r="J29" s="375"/>
      <c r="K29" s="375"/>
      <c r="L29" s="375"/>
      <c r="M29" s="375"/>
      <c r="N29" s="375"/>
      <c r="O29" s="376"/>
      <c r="P29" s="350" t="s">
        <v>179</v>
      </c>
      <c r="Q29" s="350"/>
      <c r="R29" s="353">
        <v>0</v>
      </c>
      <c r="S29" s="353"/>
      <c r="T29" s="353"/>
      <c r="U29" s="353"/>
      <c r="V29" s="353"/>
      <c r="W29" s="353"/>
      <c r="X29" s="353"/>
      <c r="Y29" s="353"/>
      <c r="Z29" s="353"/>
      <c r="AA29" s="353"/>
      <c r="AB29" s="353"/>
      <c r="AC29" s="353"/>
      <c r="AD29" s="315"/>
      <c r="AE29" s="315"/>
      <c r="AF29" s="315"/>
      <c r="AG29" s="315"/>
      <c r="AH29" s="315"/>
      <c r="AI29" s="315"/>
      <c r="AJ29" s="315"/>
    </row>
    <row r="30" spans="1:36" x14ac:dyDescent="0.3">
      <c r="A30" s="369"/>
      <c r="B30" s="370"/>
      <c r="C30" s="315" t="s">
        <v>195</v>
      </c>
      <c r="D30" s="315"/>
      <c r="E30" s="315"/>
      <c r="F30" s="315"/>
      <c r="G30" s="315"/>
      <c r="H30" s="374"/>
      <c r="I30" s="375"/>
      <c r="J30" s="375"/>
      <c r="K30" s="375"/>
      <c r="L30" s="375"/>
      <c r="M30" s="375"/>
      <c r="N30" s="375"/>
      <c r="O30" s="376"/>
      <c r="P30" s="350" t="s">
        <v>196</v>
      </c>
      <c r="Q30" s="350"/>
      <c r="R30" s="353">
        <v>1</v>
      </c>
      <c r="S30" s="353"/>
      <c r="T30" s="353"/>
      <c r="U30" s="353">
        <v>1170000</v>
      </c>
      <c r="V30" s="353"/>
      <c r="W30" s="353"/>
      <c r="X30" s="353"/>
      <c r="Y30" s="353">
        <v>1170000</v>
      </c>
      <c r="Z30" s="353"/>
      <c r="AA30" s="353"/>
      <c r="AB30" s="353"/>
      <c r="AC30" s="353"/>
      <c r="AD30" s="315"/>
      <c r="AE30" s="315"/>
      <c r="AF30" s="315"/>
      <c r="AG30" s="315"/>
      <c r="AH30" s="315"/>
      <c r="AI30" s="315"/>
      <c r="AJ30" s="315"/>
    </row>
    <row r="31" spans="1:36" x14ac:dyDescent="0.3">
      <c r="A31" s="369"/>
      <c r="B31" s="370"/>
      <c r="C31" s="315" t="s">
        <v>197</v>
      </c>
      <c r="D31" s="315"/>
      <c r="E31" s="315"/>
      <c r="F31" s="315"/>
      <c r="G31" s="315"/>
      <c r="H31" s="374"/>
      <c r="I31" s="375"/>
      <c r="J31" s="375"/>
      <c r="K31" s="375"/>
      <c r="L31" s="375"/>
      <c r="M31" s="375"/>
      <c r="N31" s="375"/>
      <c r="O31" s="376"/>
      <c r="P31" s="350" t="s">
        <v>196</v>
      </c>
      <c r="Q31" s="350"/>
      <c r="R31" s="353">
        <v>2</v>
      </c>
      <c r="S31" s="353"/>
      <c r="T31" s="353"/>
      <c r="U31" s="353">
        <v>1000000</v>
      </c>
      <c r="V31" s="353"/>
      <c r="W31" s="353"/>
      <c r="X31" s="353"/>
      <c r="Y31" s="353">
        <f>U31*R31</f>
        <v>2000000</v>
      </c>
      <c r="Z31" s="353"/>
      <c r="AA31" s="353"/>
      <c r="AB31" s="353"/>
      <c r="AC31" s="353"/>
      <c r="AD31" s="315" t="s">
        <v>198</v>
      </c>
      <c r="AE31" s="315"/>
      <c r="AF31" s="315"/>
      <c r="AG31" s="315"/>
      <c r="AH31" s="315"/>
      <c r="AI31" s="315"/>
      <c r="AJ31" s="315"/>
    </row>
    <row r="32" spans="1:36" x14ac:dyDescent="0.3">
      <c r="A32" s="369"/>
      <c r="B32" s="370"/>
      <c r="C32" s="315" t="s">
        <v>199</v>
      </c>
      <c r="D32" s="315"/>
      <c r="E32" s="315"/>
      <c r="F32" s="315"/>
      <c r="G32" s="315"/>
      <c r="H32" s="374"/>
      <c r="I32" s="375"/>
      <c r="J32" s="375"/>
      <c r="K32" s="375"/>
      <c r="L32" s="375"/>
      <c r="M32" s="375"/>
      <c r="N32" s="375"/>
      <c r="O32" s="376"/>
      <c r="P32" s="350"/>
      <c r="Q32" s="350"/>
      <c r="R32" s="353"/>
      <c r="S32" s="353"/>
      <c r="T32" s="353"/>
      <c r="U32" s="353"/>
      <c r="V32" s="353"/>
      <c r="W32" s="353"/>
      <c r="X32" s="353"/>
      <c r="Y32" s="353">
        <f>R32*U32</f>
        <v>0</v>
      </c>
      <c r="Z32" s="353"/>
      <c r="AA32" s="353"/>
      <c r="AB32" s="353"/>
      <c r="AC32" s="353"/>
      <c r="AD32" s="315"/>
      <c r="AE32" s="315"/>
      <c r="AF32" s="315"/>
      <c r="AG32" s="315"/>
      <c r="AH32" s="315"/>
      <c r="AI32" s="315"/>
      <c r="AJ32" s="315"/>
    </row>
    <row r="33" spans="1:36" x14ac:dyDescent="0.3">
      <c r="A33" s="369"/>
      <c r="B33" s="370"/>
      <c r="C33" s="315" t="s">
        <v>200</v>
      </c>
      <c r="D33" s="315"/>
      <c r="E33" s="315"/>
      <c r="F33" s="315"/>
      <c r="G33" s="315"/>
      <c r="H33" s="374"/>
      <c r="I33" s="375"/>
      <c r="J33" s="375"/>
      <c r="K33" s="375"/>
      <c r="L33" s="375"/>
      <c r="M33" s="375"/>
      <c r="N33" s="375"/>
      <c r="O33" s="376"/>
      <c r="P33" s="350"/>
      <c r="Q33" s="350"/>
      <c r="R33" s="353"/>
      <c r="S33" s="353"/>
      <c r="T33" s="353"/>
      <c r="U33" s="353"/>
      <c r="V33" s="353"/>
      <c r="W33" s="353"/>
      <c r="X33" s="353"/>
      <c r="Y33" s="353"/>
      <c r="Z33" s="353"/>
      <c r="AA33" s="353"/>
      <c r="AB33" s="353"/>
      <c r="AC33" s="353"/>
      <c r="AD33" s="315"/>
      <c r="AE33" s="315"/>
      <c r="AF33" s="315"/>
      <c r="AG33" s="315"/>
      <c r="AH33" s="315"/>
      <c r="AI33" s="315"/>
      <c r="AJ33" s="315"/>
    </row>
    <row r="34" spans="1:36" x14ac:dyDescent="0.3">
      <c r="A34" s="357" t="s">
        <v>201</v>
      </c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8"/>
      <c r="P34" s="358"/>
      <c r="Q34" s="359"/>
      <c r="R34" s="360"/>
      <c r="S34" s="360"/>
      <c r="T34" s="360"/>
      <c r="U34" s="371"/>
      <c r="V34" s="372"/>
      <c r="W34" s="372"/>
      <c r="X34" s="373"/>
      <c r="Y34" s="364">
        <f>SUM(Y11:AC33)</f>
        <v>245829400</v>
      </c>
      <c r="Z34" s="364"/>
      <c r="AA34" s="364"/>
      <c r="AB34" s="364"/>
      <c r="AC34" s="364"/>
      <c r="AD34" s="365"/>
      <c r="AE34" s="365"/>
      <c r="AF34" s="365"/>
      <c r="AG34" s="365"/>
      <c r="AH34" s="365"/>
      <c r="AI34" s="365"/>
      <c r="AJ34" s="366"/>
    </row>
    <row r="35" spans="1:36" x14ac:dyDescent="0.3">
      <c r="A35" s="367" t="s">
        <v>202</v>
      </c>
      <c r="B35" s="368"/>
      <c r="C35" s="315" t="s">
        <v>203</v>
      </c>
      <c r="D35" s="315"/>
      <c r="E35" s="315"/>
      <c r="F35" s="315"/>
      <c r="G35" s="315"/>
      <c r="H35" s="314" t="s">
        <v>204</v>
      </c>
      <c r="I35" s="314"/>
      <c r="J35" s="314"/>
      <c r="K35" s="314"/>
      <c r="L35" s="314"/>
      <c r="M35" s="314"/>
      <c r="N35" s="314"/>
      <c r="O35" s="314"/>
      <c r="P35" s="353" t="s">
        <v>205</v>
      </c>
      <c r="Q35" s="353"/>
      <c r="R35" s="353">
        <v>318</v>
      </c>
      <c r="S35" s="353"/>
      <c r="T35" s="353"/>
      <c r="U35" s="351">
        <v>50000</v>
      </c>
      <c r="V35" s="351"/>
      <c r="W35" s="351"/>
      <c r="X35" s="351"/>
      <c r="Y35" s="351">
        <f>U35*R35</f>
        <v>15900000</v>
      </c>
      <c r="Z35" s="351"/>
      <c r="AA35" s="351"/>
      <c r="AB35" s="351"/>
      <c r="AC35" s="351"/>
      <c r="AD35" s="315"/>
      <c r="AE35" s="315"/>
      <c r="AF35" s="315"/>
      <c r="AG35" s="315"/>
      <c r="AH35" s="315"/>
      <c r="AI35" s="315"/>
      <c r="AJ35" s="315"/>
    </row>
    <row r="36" spans="1:36" x14ac:dyDescent="0.3">
      <c r="A36" s="369"/>
      <c r="B36" s="370"/>
      <c r="C36" s="315" t="s">
        <v>206</v>
      </c>
      <c r="D36" s="315"/>
      <c r="E36" s="315"/>
      <c r="F36" s="315"/>
      <c r="G36" s="315"/>
      <c r="H36" s="314" t="s">
        <v>207</v>
      </c>
      <c r="I36" s="314"/>
      <c r="J36" s="314"/>
      <c r="K36" s="314"/>
      <c r="L36" s="314"/>
      <c r="M36" s="314"/>
      <c r="N36" s="314"/>
      <c r="O36" s="314"/>
      <c r="P36" s="353" t="s">
        <v>205</v>
      </c>
      <c r="Q36" s="353"/>
      <c r="R36" s="353">
        <v>318</v>
      </c>
      <c r="S36" s="353"/>
      <c r="T36" s="353"/>
      <c r="U36" s="351">
        <v>120000</v>
      </c>
      <c r="V36" s="351"/>
      <c r="W36" s="351"/>
      <c r="X36" s="351"/>
      <c r="Y36" s="351">
        <f>R36*U36</f>
        <v>38160000</v>
      </c>
      <c r="Z36" s="351"/>
      <c r="AA36" s="351"/>
      <c r="AB36" s="351"/>
      <c r="AC36" s="351"/>
      <c r="AD36" s="315"/>
      <c r="AE36" s="315"/>
      <c r="AF36" s="315"/>
      <c r="AG36" s="315"/>
      <c r="AH36" s="315"/>
      <c r="AI36" s="315"/>
      <c r="AJ36" s="315"/>
    </row>
    <row r="37" spans="1:36" x14ac:dyDescent="0.3">
      <c r="A37" s="369"/>
      <c r="B37" s="370"/>
      <c r="C37" s="315" t="s">
        <v>208</v>
      </c>
      <c r="D37" s="315"/>
      <c r="E37" s="315"/>
      <c r="F37" s="315"/>
      <c r="G37" s="315"/>
      <c r="H37" s="314" t="s">
        <v>209</v>
      </c>
      <c r="I37" s="314"/>
      <c r="J37" s="314"/>
      <c r="K37" s="314"/>
      <c r="L37" s="314"/>
      <c r="M37" s="314"/>
      <c r="N37" s="314"/>
      <c r="O37" s="314"/>
      <c r="P37" s="353" t="s">
        <v>210</v>
      </c>
      <c r="Q37" s="353"/>
      <c r="R37" s="353">
        <v>318</v>
      </c>
      <c r="S37" s="353"/>
      <c r="T37" s="353"/>
      <c r="U37" s="351">
        <v>100000</v>
      </c>
      <c r="V37" s="351"/>
      <c r="W37" s="351"/>
      <c r="X37" s="351"/>
      <c r="Y37" s="351">
        <f>U37*R37</f>
        <v>31800000</v>
      </c>
      <c r="Z37" s="351"/>
      <c r="AA37" s="351"/>
      <c r="AB37" s="351"/>
      <c r="AC37" s="351"/>
      <c r="AD37" s="315"/>
      <c r="AE37" s="315"/>
      <c r="AF37" s="315"/>
      <c r="AG37" s="315"/>
      <c r="AH37" s="315"/>
      <c r="AI37" s="315"/>
      <c r="AJ37" s="315"/>
    </row>
    <row r="38" spans="1:36" x14ac:dyDescent="0.3">
      <c r="A38" s="369"/>
      <c r="B38" s="370"/>
      <c r="C38" s="315" t="s">
        <v>200</v>
      </c>
      <c r="D38" s="315"/>
      <c r="E38" s="315"/>
      <c r="F38" s="315"/>
      <c r="G38" s="315"/>
      <c r="H38" s="314" t="s">
        <v>211</v>
      </c>
      <c r="I38" s="314"/>
      <c r="J38" s="314"/>
      <c r="K38" s="314"/>
      <c r="L38" s="314"/>
      <c r="M38" s="314"/>
      <c r="N38" s="314"/>
      <c r="O38" s="314"/>
      <c r="P38" s="353"/>
      <c r="Q38" s="353"/>
      <c r="R38" s="353"/>
      <c r="S38" s="353"/>
      <c r="T38" s="353"/>
      <c r="U38" s="351">
        <v>0</v>
      </c>
      <c r="V38" s="351"/>
      <c r="W38" s="351"/>
      <c r="X38" s="351"/>
      <c r="Y38" s="351"/>
      <c r="Z38" s="351"/>
      <c r="AA38" s="351"/>
      <c r="AB38" s="351"/>
      <c r="AC38" s="351"/>
      <c r="AD38" s="315"/>
      <c r="AE38" s="315"/>
      <c r="AF38" s="315"/>
      <c r="AG38" s="315"/>
      <c r="AH38" s="315"/>
      <c r="AI38" s="315"/>
      <c r="AJ38" s="315"/>
    </row>
    <row r="39" spans="1:36" x14ac:dyDescent="0.3">
      <c r="A39" s="369"/>
      <c r="B39" s="370"/>
      <c r="C39" s="315" t="s">
        <v>212</v>
      </c>
      <c r="D39" s="315"/>
      <c r="E39" s="315"/>
      <c r="F39" s="315"/>
      <c r="G39" s="315"/>
      <c r="H39" s="314" t="s">
        <v>213</v>
      </c>
      <c r="I39" s="314"/>
      <c r="J39" s="314"/>
      <c r="K39" s="314"/>
      <c r="L39" s="314"/>
      <c r="M39" s="314"/>
      <c r="N39" s="314"/>
      <c r="O39" s="314"/>
      <c r="P39" s="354">
        <v>0</v>
      </c>
      <c r="Q39" s="355"/>
      <c r="R39" s="355"/>
      <c r="S39" s="355"/>
      <c r="T39" s="355"/>
      <c r="U39" s="355"/>
      <c r="V39" s="355"/>
      <c r="W39" s="355"/>
      <c r="X39" s="356"/>
      <c r="Y39" s="351"/>
      <c r="Z39" s="351"/>
      <c r="AA39" s="351"/>
      <c r="AB39" s="351"/>
      <c r="AC39" s="351"/>
      <c r="AD39" s="315"/>
      <c r="AE39" s="315"/>
      <c r="AF39" s="315"/>
      <c r="AG39" s="315"/>
      <c r="AH39" s="315"/>
      <c r="AI39" s="315"/>
      <c r="AJ39" s="315"/>
    </row>
    <row r="40" spans="1:36" x14ac:dyDescent="0.3">
      <c r="A40" s="357" t="s">
        <v>214</v>
      </c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9"/>
      <c r="R40" s="360"/>
      <c r="S40" s="360"/>
      <c r="T40" s="360"/>
      <c r="U40" s="361"/>
      <c r="V40" s="362"/>
      <c r="W40" s="362"/>
      <c r="X40" s="363"/>
      <c r="Y40" s="364">
        <f>SUM(Y35:AC39)</f>
        <v>85860000</v>
      </c>
      <c r="Z40" s="364"/>
      <c r="AA40" s="364"/>
      <c r="AB40" s="364"/>
      <c r="AC40" s="364"/>
      <c r="AD40" s="365"/>
      <c r="AE40" s="365"/>
      <c r="AF40" s="365"/>
      <c r="AG40" s="365"/>
      <c r="AH40" s="365"/>
      <c r="AI40" s="365"/>
      <c r="AJ40" s="366"/>
    </row>
    <row r="41" spans="1:36" x14ac:dyDescent="0.3">
      <c r="A41" s="313" t="s">
        <v>215</v>
      </c>
      <c r="B41" s="314"/>
      <c r="C41" s="315" t="s">
        <v>216</v>
      </c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50"/>
      <c r="Q41" s="350"/>
      <c r="R41" s="350"/>
      <c r="S41" s="350"/>
      <c r="T41" s="350"/>
      <c r="U41" s="351"/>
      <c r="V41" s="351"/>
      <c r="W41" s="351"/>
      <c r="X41" s="351"/>
      <c r="Y41" s="351"/>
      <c r="Z41" s="351"/>
      <c r="AA41" s="351"/>
      <c r="AB41" s="351"/>
      <c r="AC41" s="351"/>
      <c r="AD41" s="315"/>
      <c r="AE41" s="315"/>
      <c r="AF41" s="315"/>
      <c r="AG41" s="315"/>
      <c r="AH41" s="315"/>
      <c r="AI41" s="315"/>
      <c r="AJ41" s="315"/>
    </row>
    <row r="42" spans="1:36" x14ac:dyDescent="0.3">
      <c r="A42" s="314"/>
      <c r="B42" s="314"/>
      <c r="C42" s="315" t="s">
        <v>217</v>
      </c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50"/>
      <c r="Q42" s="350"/>
      <c r="R42" s="350"/>
      <c r="S42" s="350"/>
      <c r="T42" s="350"/>
      <c r="U42" s="351"/>
      <c r="V42" s="351"/>
      <c r="W42" s="351"/>
      <c r="X42" s="351"/>
      <c r="Y42" s="351">
        <v>25900000</v>
      </c>
      <c r="Z42" s="351"/>
      <c r="AA42" s="351"/>
      <c r="AB42" s="351"/>
      <c r="AC42" s="351"/>
      <c r="AD42" s="315"/>
      <c r="AE42" s="315"/>
      <c r="AF42" s="315"/>
      <c r="AG42" s="315"/>
      <c r="AH42" s="315"/>
      <c r="AI42" s="315"/>
      <c r="AJ42" s="315"/>
    </row>
    <row r="43" spans="1:36" x14ac:dyDescent="0.3">
      <c r="A43" s="313" t="s">
        <v>218</v>
      </c>
      <c r="B43" s="314"/>
      <c r="C43" s="315" t="s">
        <v>219</v>
      </c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50"/>
      <c r="Q43" s="350"/>
      <c r="R43" s="350"/>
      <c r="S43" s="350"/>
      <c r="T43" s="350"/>
      <c r="U43" s="351"/>
      <c r="V43" s="351"/>
      <c r="W43" s="351"/>
      <c r="X43" s="351"/>
      <c r="Y43" s="351">
        <v>4000000</v>
      </c>
      <c r="Z43" s="351"/>
      <c r="AA43" s="351"/>
      <c r="AB43" s="351"/>
      <c r="AC43" s="351"/>
      <c r="AD43" s="315"/>
      <c r="AE43" s="315"/>
      <c r="AF43" s="315"/>
      <c r="AG43" s="315"/>
      <c r="AH43" s="315"/>
      <c r="AI43" s="315"/>
      <c r="AJ43" s="315"/>
    </row>
    <row r="44" spans="1:36" x14ac:dyDescent="0.3">
      <c r="A44" s="313"/>
      <c r="B44" s="314"/>
      <c r="C44" s="315" t="s">
        <v>220</v>
      </c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5"/>
      <c r="P44" s="350"/>
      <c r="Q44" s="350"/>
      <c r="R44" s="350"/>
      <c r="S44" s="350"/>
      <c r="T44" s="350"/>
      <c r="U44" s="351"/>
      <c r="V44" s="351"/>
      <c r="W44" s="351"/>
      <c r="X44" s="351"/>
      <c r="Y44" s="351"/>
      <c r="Z44" s="351"/>
      <c r="AA44" s="351"/>
      <c r="AB44" s="351"/>
      <c r="AC44" s="351"/>
      <c r="AD44" s="315"/>
      <c r="AE44" s="315"/>
      <c r="AF44" s="315"/>
      <c r="AG44" s="315"/>
      <c r="AH44" s="315"/>
      <c r="AI44" s="315"/>
      <c r="AJ44" s="315"/>
    </row>
    <row r="45" spans="1:36" x14ac:dyDescent="0.3">
      <c r="A45" s="314"/>
      <c r="B45" s="314"/>
      <c r="C45" s="315" t="s">
        <v>221</v>
      </c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50"/>
      <c r="Q45" s="350"/>
      <c r="R45" s="350"/>
      <c r="S45" s="350"/>
      <c r="T45" s="350"/>
      <c r="U45" s="351"/>
      <c r="V45" s="351"/>
      <c r="W45" s="351"/>
      <c r="X45" s="351"/>
      <c r="Y45" s="351">
        <v>4000000</v>
      </c>
      <c r="Z45" s="351"/>
      <c r="AA45" s="351"/>
      <c r="AB45" s="351"/>
      <c r="AC45" s="351"/>
      <c r="AD45" s="315"/>
      <c r="AE45" s="315"/>
      <c r="AF45" s="315"/>
      <c r="AG45" s="315"/>
      <c r="AH45" s="315"/>
      <c r="AI45" s="315"/>
      <c r="AJ45" s="315"/>
    </row>
    <row r="46" spans="1:36" x14ac:dyDescent="0.3">
      <c r="A46" s="313" t="s">
        <v>222</v>
      </c>
      <c r="B46" s="314"/>
      <c r="C46" s="315" t="s">
        <v>223</v>
      </c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50"/>
      <c r="Q46" s="350"/>
      <c r="R46" s="350"/>
      <c r="S46" s="350"/>
      <c r="T46" s="350"/>
      <c r="U46" s="351"/>
      <c r="V46" s="351"/>
      <c r="W46" s="351"/>
      <c r="X46" s="351"/>
      <c r="Y46" s="351">
        <v>4000000</v>
      </c>
      <c r="Z46" s="351"/>
      <c r="AA46" s="351"/>
      <c r="AB46" s="351"/>
      <c r="AC46" s="351"/>
      <c r="AD46" s="315"/>
      <c r="AE46" s="315"/>
      <c r="AF46" s="315"/>
      <c r="AG46" s="315"/>
      <c r="AH46" s="315"/>
      <c r="AI46" s="315"/>
      <c r="AJ46" s="315"/>
    </row>
    <row r="47" spans="1:36" x14ac:dyDescent="0.3">
      <c r="A47" s="313"/>
      <c r="B47" s="314"/>
      <c r="C47" s="315" t="s">
        <v>224</v>
      </c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50"/>
      <c r="Q47" s="350"/>
      <c r="R47" s="350"/>
      <c r="S47" s="350"/>
      <c r="T47" s="350"/>
      <c r="U47" s="351"/>
      <c r="V47" s="351"/>
      <c r="W47" s="351"/>
      <c r="X47" s="351"/>
      <c r="Y47" s="351"/>
      <c r="Z47" s="351"/>
      <c r="AA47" s="351"/>
      <c r="AB47" s="351"/>
      <c r="AC47" s="351"/>
      <c r="AD47" s="315"/>
      <c r="AE47" s="315"/>
      <c r="AF47" s="315"/>
      <c r="AG47" s="315"/>
      <c r="AH47" s="315"/>
      <c r="AI47" s="315"/>
      <c r="AJ47" s="315"/>
    </row>
    <row r="48" spans="1:36" x14ac:dyDescent="0.3">
      <c r="A48" s="314"/>
      <c r="B48" s="314"/>
      <c r="C48" s="315" t="s">
        <v>225</v>
      </c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50"/>
      <c r="Q48" s="350"/>
      <c r="R48" s="350"/>
      <c r="S48" s="350"/>
      <c r="T48" s="350"/>
      <c r="U48" s="351"/>
      <c r="V48" s="351"/>
      <c r="W48" s="351"/>
      <c r="X48" s="351"/>
      <c r="Y48" s="351">
        <v>1000000</v>
      </c>
      <c r="Z48" s="351"/>
      <c r="AA48" s="351"/>
      <c r="AB48" s="351"/>
      <c r="AC48" s="351"/>
      <c r="AD48" s="315"/>
      <c r="AE48" s="315"/>
      <c r="AF48" s="315"/>
      <c r="AG48" s="315"/>
      <c r="AH48" s="315"/>
      <c r="AI48" s="315"/>
      <c r="AJ48" s="315"/>
    </row>
    <row r="49" spans="1:36" x14ac:dyDescent="0.3">
      <c r="A49" s="331" t="s">
        <v>214</v>
      </c>
      <c r="B49" s="331"/>
      <c r="C49" s="331"/>
      <c r="D49" s="331"/>
      <c r="E49" s="331"/>
      <c r="F49" s="331"/>
      <c r="G49" s="331"/>
      <c r="H49" s="331"/>
      <c r="I49" s="331"/>
      <c r="J49" s="331"/>
      <c r="K49" s="331"/>
      <c r="L49" s="331"/>
      <c r="M49" s="331"/>
      <c r="N49" s="331"/>
      <c r="O49" s="331"/>
      <c r="P49" s="331"/>
      <c r="Q49" s="332"/>
      <c r="R49" s="333"/>
      <c r="S49" s="333"/>
      <c r="T49" s="333"/>
      <c r="U49" s="334"/>
      <c r="V49" s="335"/>
      <c r="W49" s="335"/>
      <c r="X49" s="336"/>
      <c r="Y49" s="337">
        <f>SUM(Y41:AC48)</f>
        <v>38900000</v>
      </c>
      <c r="Z49" s="338"/>
      <c r="AA49" s="338"/>
      <c r="AB49" s="338"/>
      <c r="AC49" s="338"/>
      <c r="AD49" s="339"/>
      <c r="AE49" s="339"/>
      <c r="AF49" s="339"/>
      <c r="AG49" s="339"/>
      <c r="AH49" s="339"/>
      <c r="AI49" s="339"/>
      <c r="AJ49" s="340"/>
    </row>
    <row r="50" spans="1:36" x14ac:dyDescent="0.3">
      <c r="A50" s="314" t="s">
        <v>226</v>
      </c>
      <c r="B50" s="314"/>
      <c r="C50" s="315" t="s">
        <v>227</v>
      </c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50" t="s">
        <v>228</v>
      </c>
      <c r="Q50" s="350"/>
      <c r="R50" s="353">
        <v>3</v>
      </c>
      <c r="S50" s="353"/>
      <c r="T50" s="353"/>
      <c r="U50" s="351">
        <v>13000000</v>
      </c>
      <c r="V50" s="351"/>
      <c r="W50" s="351"/>
      <c r="X50" s="351"/>
      <c r="Y50" s="351"/>
      <c r="Z50" s="351"/>
      <c r="AA50" s="351"/>
      <c r="AB50" s="351"/>
      <c r="AC50" s="351"/>
      <c r="AD50" s="315" t="s">
        <v>229</v>
      </c>
      <c r="AE50" s="315"/>
      <c r="AF50" s="315"/>
      <c r="AG50" s="315"/>
      <c r="AH50" s="315"/>
      <c r="AI50" s="315"/>
      <c r="AJ50" s="315"/>
    </row>
    <row r="51" spans="1:36" x14ac:dyDescent="0.3">
      <c r="A51" s="314" t="s">
        <v>230</v>
      </c>
      <c r="B51" s="314"/>
      <c r="C51" s="315" t="s">
        <v>231</v>
      </c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50" t="s">
        <v>232</v>
      </c>
      <c r="Q51" s="350"/>
      <c r="R51" s="350">
        <v>12</v>
      </c>
      <c r="S51" s="350"/>
      <c r="T51" s="350"/>
      <c r="U51" s="351">
        <v>80000</v>
      </c>
      <c r="V51" s="351"/>
      <c r="W51" s="351"/>
      <c r="X51" s="351"/>
      <c r="Y51" s="351"/>
      <c r="Z51" s="351"/>
      <c r="AA51" s="351"/>
      <c r="AB51" s="351"/>
      <c r="AC51" s="351"/>
      <c r="AD51" s="315" t="s">
        <v>233</v>
      </c>
      <c r="AE51" s="315"/>
      <c r="AF51" s="315"/>
      <c r="AG51" s="315"/>
      <c r="AH51" s="315"/>
      <c r="AI51" s="315"/>
      <c r="AJ51" s="315"/>
    </row>
    <row r="52" spans="1:36" x14ac:dyDescent="0.3">
      <c r="A52" s="314"/>
      <c r="B52" s="314"/>
      <c r="C52" s="315" t="s">
        <v>234</v>
      </c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50"/>
      <c r="Q52" s="350"/>
      <c r="R52" s="350"/>
      <c r="S52" s="350"/>
      <c r="T52" s="350"/>
      <c r="U52" s="351"/>
      <c r="V52" s="351"/>
      <c r="W52" s="351"/>
      <c r="X52" s="351"/>
      <c r="Y52" s="351"/>
      <c r="Z52" s="351"/>
      <c r="AA52" s="351"/>
      <c r="AB52" s="351"/>
      <c r="AC52" s="351"/>
      <c r="AD52" s="315"/>
      <c r="AE52" s="315"/>
      <c r="AF52" s="315"/>
      <c r="AG52" s="315"/>
      <c r="AH52" s="315"/>
      <c r="AI52" s="315"/>
      <c r="AJ52" s="315"/>
    </row>
    <row r="53" spans="1:36" x14ac:dyDescent="0.3">
      <c r="A53" s="314"/>
      <c r="B53" s="314"/>
      <c r="C53" s="315" t="s">
        <v>235</v>
      </c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50"/>
      <c r="Q53" s="350"/>
      <c r="R53" s="350"/>
      <c r="S53" s="350"/>
      <c r="T53" s="350"/>
      <c r="U53" s="352">
        <v>7.0000000000000007E-2</v>
      </c>
      <c r="V53" s="351"/>
      <c r="W53" s="351"/>
      <c r="X53" s="351"/>
      <c r="Y53" s="351">
        <v>-589400</v>
      </c>
      <c r="Z53" s="351"/>
      <c r="AA53" s="351"/>
      <c r="AB53" s="351"/>
      <c r="AC53" s="351"/>
      <c r="AD53" s="315" t="s">
        <v>262</v>
      </c>
      <c r="AE53" s="315"/>
      <c r="AF53" s="315"/>
      <c r="AG53" s="315"/>
      <c r="AH53" s="315"/>
      <c r="AI53" s="315"/>
      <c r="AJ53" s="315"/>
    </row>
    <row r="54" spans="1:36" x14ac:dyDescent="0.3">
      <c r="A54" s="314"/>
      <c r="B54" s="314"/>
      <c r="C54" s="315" t="s">
        <v>236</v>
      </c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50"/>
      <c r="Q54" s="350"/>
      <c r="R54" s="350"/>
      <c r="S54" s="350"/>
      <c r="T54" s="350"/>
      <c r="U54" s="351"/>
      <c r="V54" s="351"/>
      <c r="W54" s="351"/>
      <c r="X54" s="351"/>
      <c r="Y54" s="351"/>
      <c r="Z54" s="351"/>
      <c r="AA54" s="351"/>
      <c r="AB54" s="351"/>
      <c r="AC54" s="351"/>
      <c r="AD54" s="315"/>
      <c r="AE54" s="315"/>
      <c r="AF54" s="315"/>
      <c r="AG54" s="315"/>
      <c r="AH54" s="315"/>
      <c r="AI54" s="315"/>
      <c r="AJ54" s="315"/>
    </row>
    <row r="55" spans="1:36" x14ac:dyDescent="0.3">
      <c r="A55" s="314"/>
      <c r="B55" s="314"/>
      <c r="C55" s="315" t="s">
        <v>237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50"/>
      <c r="Q55" s="350"/>
      <c r="R55" s="350"/>
      <c r="S55" s="350"/>
      <c r="T55" s="350"/>
      <c r="U55" s="351"/>
      <c r="V55" s="351"/>
      <c r="W55" s="351"/>
      <c r="X55" s="351"/>
      <c r="Y55" s="351"/>
      <c r="Z55" s="351"/>
      <c r="AA55" s="351"/>
      <c r="AB55" s="351"/>
      <c r="AC55" s="351"/>
      <c r="AD55" s="315"/>
      <c r="AE55" s="315"/>
      <c r="AF55" s="315"/>
      <c r="AG55" s="315"/>
      <c r="AH55" s="315"/>
      <c r="AI55" s="315"/>
      <c r="AJ55" s="315"/>
    </row>
    <row r="56" spans="1:36" x14ac:dyDescent="0.3">
      <c r="A56" s="314"/>
      <c r="B56" s="314"/>
      <c r="C56" s="315" t="s">
        <v>238</v>
      </c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50"/>
      <c r="Q56" s="350"/>
      <c r="R56" s="350"/>
      <c r="S56" s="350"/>
      <c r="T56" s="350"/>
      <c r="U56" s="351"/>
      <c r="V56" s="351"/>
      <c r="W56" s="351"/>
      <c r="X56" s="351"/>
      <c r="Y56" s="351"/>
      <c r="Z56" s="351"/>
      <c r="AA56" s="351"/>
      <c r="AB56" s="351"/>
      <c r="AC56" s="351"/>
      <c r="AD56" s="315"/>
      <c r="AE56" s="315"/>
      <c r="AF56" s="315"/>
      <c r="AG56" s="315"/>
      <c r="AH56" s="315"/>
      <c r="AI56" s="315"/>
      <c r="AJ56" s="315"/>
    </row>
    <row r="57" spans="1:36" x14ac:dyDescent="0.3">
      <c r="A57" s="314"/>
      <c r="B57" s="314"/>
      <c r="C57" s="315" t="s">
        <v>239</v>
      </c>
      <c r="D57" s="315"/>
      <c r="E57" s="315"/>
      <c r="F57" s="315"/>
      <c r="G57" s="315"/>
      <c r="H57" s="315"/>
      <c r="I57" s="315"/>
      <c r="J57" s="315"/>
      <c r="K57" s="315"/>
      <c r="L57" s="315"/>
      <c r="M57" s="315"/>
      <c r="N57" s="315"/>
      <c r="O57" s="315"/>
      <c r="P57" s="350"/>
      <c r="Q57" s="350"/>
      <c r="R57" s="350"/>
      <c r="S57" s="350"/>
      <c r="T57" s="350"/>
      <c r="U57" s="351"/>
      <c r="V57" s="351"/>
      <c r="W57" s="351"/>
      <c r="X57" s="351"/>
      <c r="Y57" s="351"/>
      <c r="Z57" s="351"/>
      <c r="AA57" s="351"/>
      <c r="AB57" s="351"/>
      <c r="AC57" s="351"/>
      <c r="AD57" s="315"/>
      <c r="AE57" s="315"/>
      <c r="AF57" s="315"/>
      <c r="AG57" s="315"/>
      <c r="AH57" s="315"/>
      <c r="AI57" s="315"/>
      <c r="AJ57" s="315"/>
    </row>
    <row r="58" spans="1:36" x14ac:dyDescent="0.3">
      <c r="A58" s="331" t="s">
        <v>214</v>
      </c>
      <c r="B58" s="331"/>
      <c r="C58" s="331"/>
      <c r="D58" s="331"/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2"/>
      <c r="R58" s="333"/>
      <c r="S58" s="333"/>
      <c r="T58" s="333"/>
      <c r="U58" s="334"/>
      <c r="V58" s="335"/>
      <c r="W58" s="335"/>
      <c r="X58" s="336"/>
      <c r="Y58" s="337">
        <f>SUM(Y50:AC57)</f>
        <v>-589400</v>
      </c>
      <c r="Z58" s="338"/>
      <c r="AA58" s="338"/>
      <c r="AB58" s="338"/>
      <c r="AC58" s="338"/>
      <c r="AD58" s="339"/>
      <c r="AE58" s="339"/>
      <c r="AF58" s="339"/>
      <c r="AG58" s="339"/>
      <c r="AH58" s="339"/>
      <c r="AI58" s="339"/>
      <c r="AJ58" s="340"/>
    </row>
    <row r="59" spans="1:36" x14ac:dyDescent="0.3">
      <c r="A59" s="341" t="s">
        <v>240</v>
      </c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3"/>
      <c r="R59" s="344">
        <f>Y34+Y40+Y49+Y58</f>
        <v>370000000</v>
      </c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6"/>
      <c r="AD59" s="347"/>
      <c r="AE59" s="348"/>
      <c r="AF59" s="348"/>
      <c r="AG59" s="348"/>
      <c r="AH59" s="348"/>
      <c r="AI59" s="348"/>
      <c r="AJ59" s="349"/>
    </row>
    <row r="60" spans="1:36" x14ac:dyDescent="0.3">
      <c r="A60" s="316" t="s">
        <v>241</v>
      </c>
      <c r="B60" s="317"/>
      <c r="C60" s="317"/>
      <c r="D60" s="317"/>
      <c r="E60" s="317"/>
      <c r="F60" s="317"/>
      <c r="G60" s="317"/>
      <c r="H60" s="317"/>
      <c r="I60" s="317"/>
      <c r="J60" s="317"/>
      <c r="K60" s="317"/>
      <c r="L60" s="317"/>
      <c r="M60" s="317"/>
      <c r="N60" s="317"/>
      <c r="O60" s="317"/>
      <c r="P60" s="317"/>
      <c r="Q60" s="318"/>
      <c r="R60" s="319">
        <f>Y34+Y40+Y49+Y58</f>
        <v>370000000</v>
      </c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1"/>
      <c r="AD60" s="322"/>
      <c r="AE60" s="323"/>
      <c r="AF60" s="323"/>
      <c r="AG60" s="323"/>
      <c r="AH60" s="323"/>
      <c r="AI60" s="323"/>
      <c r="AJ60" s="324"/>
    </row>
    <row r="61" spans="1:36" x14ac:dyDescent="0.3">
      <c r="A61" s="325" t="s">
        <v>242</v>
      </c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7">
        <f>R60</f>
        <v>370000000</v>
      </c>
      <c r="S61" s="328"/>
      <c r="T61" s="328"/>
      <c r="U61" s="328"/>
      <c r="V61" s="328"/>
      <c r="W61" s="328"/>
      <c r="X61" s="328"/>
      <c r="Y61" s="328"/>
      <c r="Z61" s="328"/>
      <c r="AA61" s="328"/>
      <c r="AB61" s="328"/>
      <c r="AC61" s="328"/>
      <c r="AD61" s="329" t="s">
        <v>243</v>
      </c>
      <c r="AE61" s="329"/>
      <c r="AF61" s="329"/>
      <c r="AG61" s="329"/>
      <c r="AH61" s="329"/>
      <c r="AI61" s="329"/>
      <c r="AJ61" s="330"/>
    </row>
    <row r="62" spans="1:36" x14ac:dyDescent="0.3">
      <c r="A62" s="305"/>
      <c r="B62" s="306"/>
      <c r="C62" s="306"/>
      <c r="D62" s="306"/>
      <c r="E62" s="306"/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06"/>
      <c r="Q62" s="307"/>
      <c r="R62" s="308"/>
      <c r="S62" s="309"/>
      <c r="T62" s="309"/>
      <c r="U62" s="309"/>
      <c r="V62" s="309"/>
      <c r="W62" s="309"/>
      <c r="X62" s="309"/>
      <c r="Y62" s="309"/>
      <c r="Z62" s="309"/>
      <c r="AA62" s="309"/>
      <c r="AB62" s="309"/>
      <c r="AC62" s="310"/>
      <c r="AD62" s="311"/>
      <c r="AE62" s="312"/>
      <c r="AF62" s="312"/>
      <c r="AG62" s="312"/>
      <c r="AH62" s="312"/>
      <c r="AI62" s="312"/>
      <c r="AJ62" s="312"/>
    </row>
    <row r="63" spans="1:36" x14ac:dyDescent="0.3">
      <c r="A63" s="313" t="s">
        <v>244</v>
      </c>
      <c r="B63" s="314"/>
      <c r="C63" s="315" t="s">
        <v>245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Y63" s="315"/>
      <c r="Z63" s="315"/>
      <c r="AA63" s="315"/>
      <c r="AB63" s="315"/>
      <c r="AC63" s="315"/>
      <c r="AD63" s="315"/>
      <c r="AE63" s="315"/>
      <c r="AF63" s="315"/>
      <c r="AG63" s="315"/>
      <c r="AH63" s="315"/>
      <c r="AI63" s="315"/>
      <c r="AJ63" s="315"/>
    </row>
    <row r="64" spans="1:36" x14ac:dyDescent="0.3">
      <c r="A64" s="314"/>
      <c r="B64" s="314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  <c r="AE64" s="315"/>
      <c r="AF64" s="315"/>
      <c r="AG64" s="315"/>
      <c r="AH64" s="315"/>
      <c r="AI64" s="315"/>
      <c r="AJ64" s="315"/>
    </row>
    <row r="65" spans="1:36" x14ac:dyDescent="0.3">
      <c r="A65" s="314"/>
      <c r="B65" s="314"/>
      <c r="C65" s="315" t="s">
        <v>246</v>
      </c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5"/>
      <c r="X65" s="315"/>
      <c r="Y65" s="315"/>
      <c r="Z65" s="315"/>
      <c r="AA65" s="315"/>
      <c r="AB65" s="315"/>
      <c r="AC65" s="315"/>
      <c r="AD65" s="315"/>
      <c r="AE65" s="315"/>
      <c r="AF65" s="315"/>
      <c r="AG65" s="315"/>
      <c r="AH65" s="315"/>
      <c r="AI65" s="315"/>
      <c r="AJ65" s="315"/>
    </row>
    <row r="66" spans="1:36" x14ac:dyDescent="0.3">
      <c r="A66" s="314"/>
      <c r="B66" s="314"/>
      <c r="C66" s="315" t="s">
        <v>247</v>
      </c>
      <c r="D66" s="315"/>
      <c r="E66" s="315"/>
      <c r="F66" s="315"/>
      <c r="G66" s="315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  <c r="AA66" s="315"/>
      <c r="AB66" s="315"/>
      <c r="AC66" s="315"/>
      <c r="AD66" s="315"/>
      <c r="AE66" s="315"/>
      <c r="AF66" s="315"/>
      <c r="AG66" s="315"/>
      <c r="AH66" s="315"/>
      <c r="AI66" s="315"/>
      <c r="AJ66" s="315"/>
    </row>
  </sheetData>
  <mergeCells count="306">
    <mergeCell ref="A1:AJ1"/>
    <mergeCell ref="A3:D3"/>
    <mergeCell ref="E3:P3"/>
    <mergeCell ref="U3:X3"/>
    <mergeCell ref="Y3:AJ3"/>
    <mergeCell ref="A4:D4"/>
    <mergeCell ref="E4:P4"/>
    <mergeCell ref="U4:X4"/>
    <mergeCell ref="Y4:AJ4"/>
    <mergeCell ref="A8:D8"/>
    <mergeCell ref="E8:H8"/>
    <mergeCell ref="I8:T8"/>
    <mergeCell ref="U8:X8"/>
    <mergeCell ref="Y8:AF8"/>
    <mergeCell ref="AG8:AJ8"/>
    <mergeCell ref="A5:D5"/>
    <mergeCell ref="E5:P5"/>
    <mergeCell ref="U5:X5"/>
    <mergeCell ref="Y5:AJ5"/>
    <mergeCell ref="K6:Z6"/>
    <mergeCell ref="A7:D7"/>
    <mergeCell ref="E7:H7"/>
    <mergeCell ref="I7:T7"/>
    <mergeCell ref="U7:X7"/>
    <mergeCell ref="Y7:AJ7"/>
    <mergeCell ref="U10:X10"/>
    <mergeCell ref="Y10:AC10"/>
    <mergeCell ref="AD10:AJ10"/>
    <mergeCell ref="A11:B33"/>
    <mergeCell ref="C11:D17"/>
    <mergeCell ref="E11:G11"/>
    <mergeCell ref="H11:O11"/>
    <mergeCell ref="P11:Q17"/>
    <mergeCell ref="R11:T17"/>
    <mergeCell ref="U11:X17"/>
    <mergeCell ref="A10:B10"/>
    <mergeCell ref="C10:D10"/>
    <mergeCell ref="E10:G10"/>
    <mergeCell ref="H10:O10"/>
    <mergeCell ref="P10:Q10"/>
    <mergeCell ref="R10:T10"/>
    <mergeCell ref="Y11:AC17"/>
    <mergeCell ref="AD11:AJ17"/>
    <mergeCell ref="E12:G12"/>
    <mergeCell ref="H12:O12"/>
    <mergeCell ref="E13:G13"/>
    <mergeCell ref="H13:O13"/>
    <mergeCell ref="E14:G14"/>
    <mergeCell ref="H14:O14"/>
    <mergeCell ref="E15:G15"/>
    <mergeCell ref="H15:O15"/>
    <mergeCell ref="E16:G16"/>
    <mergeCell ref="H16:O16"/>
    <mergeCell ref="E17:G17"/>
    <mergeCell ref="H17:O17"/>
    <mergeCell ref="C18:D23"/>
    <mergeCell ref="E18:G18"/>
    <mergeCell ref="H18:O18"/>
    <mergeCell ref="H21:O21"/>
    <mergeCell ref="E22:G22"/>
    <mergeCell ref="H22:O22"/>
    <mergeCell ref="C24:D26"/>
    <mergeCell ref="E24:G24"/>
    <mergeCell ref="H24:O24"/>
    <mergeCell ref="P24:Q26"/>
    <mergeCell ref="P18:Q23"/>
    <mergeCell ref="R18:T23"/>
    <mergeCell ref="U18:X23"/>
    <mergeCell ref="Y18:AC23"/>
    <mergeCell ref="AD18:AJ23"/>
    <mergeCell ref="E19:G19"/>
    <mergeCell ref="H19:O19"/>
    <mergeCell ref="E20:G20"/>
    <mergeCell ref="H20:O20"/>
    <mergeCell ref="E21:G21"/>
    <mergeCell ref="R24:T26"/>
    <mergeCell ref="U24:X26"/>
    <mergeCell ref="Y24:AC26"/>
    <mergeCell ref="AD24:AJ26"/>
    <mergeCell ref="E25:G25"/>
    <mergeCell ref="H25:O25"/>
    <mergeCell ref="E26:G26"/>
    <mergeCell ref="H26:O26"/>
    <mergeCell ref="E23:G23"/>
    <mergeCell ref="H23:O23"/>
    <mergeCell ref="AD27:AJ27"/>
    <mergeCell ref="C28:G28"/>
    <mergeCell ref="H28:O28"/>
    <mergeCell ref="P28:Q28"/>
    <mergeCell ref="R28:T28"/>
    <mergeCell ref="U28:X28"/>
    <mergeCell ref="Y28:AC28"/>
    <mergeCell ref="AD28:AJ28"/>
    <mergeCell ref="C27:G27"/>
    <mergeCell ref="H27:O27"/>
    <mergeCell ref="P27:Q27"/>
    <mergeCell ref="R27:T27"/>
    <mergeCell ref="U27:X27"/>
    <mergeCell ref="Y27:AC27"/>
    <mergeCell ref="AD29:AJ29"/>
    <mergeCell ref="C30:G30"/>
    <mergeCell ref="H30:O30"/>
    <mergeCell ref="P30:Q30"/>
    <mergeCell ref="R30:T30"/>
    <mergeCell ref="U30:X30"/>
    <mergeCell ref="Y30:AC30"/>
    <mergeCell ref="AD30:AJ30"/>
    <mergeCell ref="C29:G29"/>
    <mergeCell ref="H29:O29"/>
    <mergeCell ref="P29:Q29"/>
    <mergeCell ref="R29:T29"/>
    <mergeCell ref="U29:X29"/>
    <mergeCell ref="Y29:AC29"/>
    <mergeCell ref="AD31:AJ31"/>
    <mergeCell ref="C32:G32"/>
    <mergeCell ref="H32:O32"/>
    <mergeCell ref="P32:Q32"/>
    <mergeCell ref="R32:T32"/>
    <mergeCell ref="U32:X32"/>
    <mergeCell ref="Y32:AC32"/>
    <mergeCell ref="AD32:AJ32"/>
    <mergeCell ref="C31:G31"/>
    <mergeCell ref="H31:O31"/>
    <mergeCell ref="P31:Q31"/>
    <mergeCell ref="R31:T31"/>
    <mergeCell ref="U31:X31"/>
    <mergeCell ref="Y31:AC31"/>
    <mergeCell ref="AD33:AJ33"/>
    <mergeCell ref="A34:Q34"/>
    <mergeCell ref="R34:T34"/>
    <mergeCell ref="U34:X34"/>
    <mergeCell ref="Y34:AC34"/>
    <mergeCell ref="AD34:AJ34"/>
    <mergeCell ref="C33:G33"/>
    <mergeCell ref="H33:O33"/>
    <mergeCell ref="P33:Q33"/>
    <mergeCell ref="R33:T33"/>
    <mergeCell ref="U33:X33"/>
    <mergeCell ref="Y33:AC33"/>
    <mergeCell ref="R37:T37"/>
    <mergeCell ref="Y35:AC35"/>
    <mergeCell ref="AD35:AJ35"/>
    <mergeCell ref="C36:G36"/>
    <mergeCell ref="H36:O36"/>
    <mergeCell ref="P36:Q36"/>
    <mergeCell ref="R36:T36"/>
    <mergeCell ref="U36:X36"/>
    <mergeCell ref="Y36:AC36"/>
    <mergeCell ref="AD36:AJ36"/>
    <mergeCell ref="C35:G35"/>
    <mergeCell ref="H35:O35"/>
    <mergeCell ref="P35:Q35"/>
    <mergeCell ref="R35:T35"/>
    <mergeCell ref="U35:X35"/>
    <mergeCell ref="C39:G39"/>
    <mergeCell ref="H39:O39"/>
    <mergeCell ref="P39:X39"/>
    <mergeCell ref="Y39:AC39"/>
    <mergeCell ref="AD39:AJ39"/>
    <mergeCell ref="A40:Q40"/>
    <mergeCell ref="R40:T40"/>
    <mergeCell ref="U40:X40"/>
    <mergeCell ref="Y40:AC40"/>
    <mergeCell ref="AD40:AJ40"/>
    <mergeCell ref="A35:B39"/>
    <mergeCell ref="U37:X37"/>
    <mergeCell ref="Y37:AC37"/>
    <mergeCell ref="AD37:AJ37"/>
    <mergeCell ref="C38:G38"/>
    <mergeCell ref="H38:O38"/>
    <mergeCell ref="P38:Q38"/>
    <mergeCell ref="R38:T38"/>
    <mergeCell ref="U38:X38"/>
    <mergeCell ref="Y38:AC38"/>
    <mergeCell ref="AD38:AJ38"/>
    <mergeCell ref="C37:G37"/>
    <mergeCell ref="H37:O37"/>
    <mergeCell ref="P37:Q37"/>
    <mergeCell ref="AD41:AJ41"/>
    <mergeCell ref="C42:O42"/>
    <mergeCell ref="P42:Q42"/>
    <mergeCell ref="R42:T42"/>
    <mergeCell ref="U42:X42"/>
    <mergeCell ref="Y42:AC42"/>
    <mergeCell ref="AD42:AJ42"/>
    <mergeCell ref="A41:B42"/>
    <mergeCell ref="C41:O41"/>
    <mergeCell ref="P41:Q41"/>
    <mergeCell ref="R41:T41"/>
    <mergeCell ref="U41:X41"/>
    <mergeCell ref="Y41:AC41"/>
    <mergeCell ref="AD43:AJ43"/>
    <mergeCell ref="C44:O44"/>
    <mergeCell ref="P44:Q44"/>
    <mergeCell ref="R44:T44"/>
    <mergeCell ref="U44:X44"/>
    <mergeCell ref="Y44:AC44"/>
    <mergeCell ref="AD44:AJ44"/>
    <mergeCell ref="A43:B45"/>
    <mergeCell ref="C43:O43"/>
    <mergeCell ref="P43:Q43"/>
    <mergeCell ref="R43:T43"/>
    <mergeCell ref="U43:X43"/>
    <mergeCell ref="Y43:AC43"/>
    <mergeCell ref="C45:O45"/>
    <mergeCell ref="P45:Q45"/>
    <mergeCell ref="R45:T45"/>
    <mergeCell ref="U45:X45"/>
    <mergeCell ref="Y45:AC45"/>
    <mergeCell ref="AD45:AJ45"/>
    <mergeCell ref="A49:Q49"/>
    <mergeCell ref="R49:T49"/>
    <mergeCell ref="U49:X49"/>
    <mergeCell ref="Y49:AC49"/>
    <mergeCell ref="AD49:AJ49"/>
    <mergeCell ref="P47:Q47"/>
    <mergeCell ref="R47:T47"/>
    <mergeCell ref="U47:X47"/>
    <mergeCell ref="Y47:AC47"/>
    <mergeCell ref="AD47:AJ47"/>
    <mergeCell ref="C48:O48"/>
    <mergeCell ref="P48:Q48"/>
    <mergeCell ref="R48:T48"/>
    <mergeCell ref="U48:X48"/>
    <mergeCell ref="Y48:AC48"/>
    <mergeCell ref="A46:B48"/>
    <mergeCell ref="C46:O46"/>
    <mergeCell ref="P46:Q46"/>
    <mergeCell ref="R46:T46"/>
    <mergeCell ref="U46:X46"/>
    <mergeCell ref="Y46:AC46"/>
    <mergeCell ref="AD46:AJ46"/>
    <mergeCell ref="C47:O47"/>
    <mergeCell ref="AD48:AJ48"/>
    <mergeCell ref="AD50:AJ50"/>
    <mergeCell ref="A51:B57"/>
    <mergeCell ref="C51:O51"/>
    <mergeCell ref="P51:Q51"/>
    <mergeCell ref="R51:T51"/>
    <mergeCell ref="U51:X51"/>
    <mergeCell ref="Y51:AC51"/>
    <mergeCell ref="AD51:AJ51"/>
    <mergeCell ref="C52:O52"/>
    <mergeCell ref="P52:Q52"/>
    <mergeCell ref="A50:B50"/>
    <mergeCell ref="C50:O50"/>
    <mergeCell ref="P50:Q50"/>
    <mergeCell ref="R50:T50"/>
    <mergeCell ref="U50:X50"/>
    <mergeCell ref="Y50:AC50"/>
    <mergeCell ref="C54:O54"/>
    <mergeCell ref="P54:Q54"/>
    <mergeCell ref="R54:T54"/>
    <mergeCell ref="U54:X54"/>
    <mergeCell ref="Y54:AC54"/>
    <mergeCell ref="AD54:AJ54"/>
    <mergeCell ref="R52:T52"/>
    <mergeCell ref="U52:X52"/>
    <mergeCell ref="Y52:AC52"/>
    <mergeCell ref="AD52:AJ52"/>
    <mergeCell ref="C53:O53"/>
    <mergeCell ref="P53:Q53"/>
    <mergeCell ref="R53:T53"/>
    <mergeCell ref="U53:X53"/>
    <mergeCell ref="Y53:AC53"/>
    <mergeCell ref="AD53:AJ53"/>
    <mergeCell ref="C56:O56"/>
    <mergeCell ref="P56:Q56"/>
    <mergeCell ref="R56:T56"/>
    <mergeCell ref="U56:X56"/>
    <mergeCell ref="Y56:AC56"/>
    <mergeCell ref="AD56:AJ56"/>
    <mergeCell ref="C55:O55"/>
    <mergeCell ref="P55:Q55"/>
    <mergeCell ref="R55:T55"/>
    <mergeCell ref="U55:X55"/>
    <mergeCell ref="Y55:AC55"/>
    <mergeCell ref="AD55:AJ55"/>
    <mergeCell ref="A58:Q58"/>
    <mergeCell ref="R58:T58"/>
    <mergeCell ref="U58:X58"/>
    <mergeCell ref="Y58:AC58"/>
    <mergeCell ref="AD58:AJ58"/>
    <mergeCell ref="A59:Q59"/>
    <mergeCell ref="R59:AC59"/>
    <mergeCell ref="AD59:AJ59"/>
    <mergeCell ref="C57:O57"/>
    <mergeCell ref="P57:Q57"/>
    <mergeCell ref="R57:T57"/>
    <mergeCell ref="U57:X57"/>
    <mergeCell ref="Y57:AC57"/>
    <mergeCell ref="AD57:AJ57"/>
    <mergeCell ref="A62:Q62"/>
    <mergeCell ref="R62:AC62"/>
    <mergeCell ref="AD62:AJ62"/>
    <mergeCell ref="A63:B66"/>
    <mergeCell ref="C63:AJ63"/>
    <mergeCell ref="C64:AJ64"/>
    <mergeCell ref="C65:AJ65"/>
    <mergeCell ref="C66:AJ66"/>
    <mergeCell ref="A60:Q60"/>
    <mergeCell ref="R60:AC60"/>
    <mergeCell ref="AD60:AJ60"/>
    <mergeCell ref="A61:Q61"/>
    <mergeCell ref="R61:AC61"/>
    <mergeCell ref="AD61:AJ61"/>
  </mergeCells>
  <phoneticPr fontId="4" type="noConversion"/>
  <hyperlinks>
    <hyperlink ref="Y5" r:id="rId1"/>
  </hyperlinks>
  <pageMargins left="0.7" right="0.7" top="0.75" bottom="0.75" header="0.3" footer="0.3"/>
  <pageSetup paperSize="9" scale="6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4</vt:i4>
      </vt:variant>
    </vt:vector>
  </HeadingPairs>
  <TitlesOfParts>
    <vt:vector size="10" baseType="lpstr">
      <vt:lpstr>현물가1.5</vt:lpstr>
      <vt:lpstr>견적서</vt:lpstr>
      <vt:lpstr>작업용</vt:lpstr>
      <vt:lpstr>견적서 작업용</vt:lpstr>
      <vt:lpstr>123213123</vt:lpstr>
      <vt:lpstr>Sheet3</vt:lpstr>
      <vt:lpstr>견적서!Print_Area</vt:lpstr>
      <vt:lpstr>'견적서 작업용'!Print_Area</vt:lpstr>
      <vt:lpstr>작업용!Print_Area</vt:lpstr>
      <vt:lpstr>현물가1.5!Print_Area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서아가족</dc:creator>
  <cp:lastModifiedBy>b</cp:lastModifiedBy>
  <cp:lastPrinted>2026-04-17T04:21:39Z</cp:lastPrinted>
  <dcterms:created xsi:type="dcterms:W3CDTF">2019-04-01T02:21:51Z</dcterms:created>
  <dcterms:modified xsi:type="dcterms:W3CDTF">2026-04-21T07:43:20Z</dcterms:modified>
</cp:coreProperties>
</file>